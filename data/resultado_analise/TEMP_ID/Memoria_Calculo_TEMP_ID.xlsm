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_de_trabalho"/>
  <bookViews>
    <workbookView visibility="visible" minimized="0" showHorizontalScroll="1" showVerticalScroll="1" showSheetTabs="1" xWindow="2160" yWindow="1485" windowWidth="21600" windowHeight="11835" tabRatio="600" firstSheet="0" activeTab="1" autoFilterDateGrouping="1"/>
  </bookViews>
  <sheets>
    <sheet xmlns:r="http://schemas.openxmlformats.org/officeDocument/2006/relationships" name="Contagem" sheetId="1" state="visible" r:id="rId1"/>
    <sheet xmlns:r="http://schemas.openxmlformats.org/officeDocument/2006/relationships" name="Funções" sheetId="2" state="visible" r:id="rId2"/>
    <sheet xmlns:r="http://schemas.openxmlformats.org/officeDocument/2006/relationships" name="Memória" sheetId="3" state="visible" r:id="rId3"/>
    <sheet xmlns:r="http://schemas.openxmlformats.org/officeDocument/2006/relationships" name="Mapa contagem" sheetId="4" state="visible" r:id="rId4"/>
    <sheet xmlns:r="http://schemas.openxmlformats.org/officeDocument/2006/relationships" name="Itens Não Mensuráveis"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__xlfn_COUNTIFS">NA()</definedName>
    <definedName name="CF">#REF!</definedName>
    <definedName name="Data">#REF!</definedName>
    <definedName name="DATA_ABERTURA">[2]Solicitação!$B$5</definedName>
    <definedName name="DESCRICAO_CHAMADO">[2]Solicitação!$B$1</definedName>
    <definedName name="NUMERO_ANO">[2]Solicitação!$B$4</definedName>
    <definedName name="Projeto">#REF!</definedName>
    <definedName name="Responsável">#REF!</definedName>
    <definedName name="Revisão">#REF!</definedName>
    <definedName name="Revisor">#REF!</definedName>
    <definedName name="UFPB">Contagem!$F$17</definedName>
    <definedName name="VAF">#REF!</definedName>
    <definedName name="VAFA">#REF!</definedName>
    <definedName name="VAFB">#REF!</definedName>
    <definedName name="_xlnm.Print_Area" localSheetId="0">'Contagem'!$A$5:$F$22</definedName>
  </definedNames>
  <calcPr calcId="191029" fullCalcOnLoad="1"/>
</workbook>
</file>

<file path=xl/styles.xml><?xml version="1.0" encoding="utf-8"?>
<styleSheet xmlns="http://schemas.openxmlformats.org/spreadsheetml/2006/main">
  <numFmts count="4">
    <numFmt numFmtId="164" formatCode="#,##0.00\ ;\(#,##0.00\);\-#\ ;@\ "/>
    <numFmt numFmtId="165" formatCode="_-&quot;R$&quot;\ * #,##0.00_-;\-&quot;R$&quot;\ * #,##0.00_-;_-&quot;R$&quot;\ * &quot;-&quot;??_-;_-@_-"/>
    <numFmt numFmtId="166" formatCode="0.0"/>
    <numFmt numFmtId="167" formatCode="[$R$-416]\ #,##0.00;[Red]\-[$R$-416]\ #,##0.00"/>
  </numFmts>
  <fonts count="47">
    <font>
      <name val="Arial1"/>
      <color indexed="8"/>
      <sz val="11"/>
    </font>
    <font>
      <name val="Arial"/>
      <sz val="10"/>
    </font>
    <font>
      <name val="Arial1"/>
      <b val="1"/>
      <i val="1"/>
      <color indexed="8"/>
      <sz val="16"/>
    </font>
    <font>
      <name val="Arial2"/>
      <color indexed="8"/>
      <sz val="10"/>
    </font>
    <font>
      <name val="ARIAL"/>
      <family val="2"/>
      <sz val="10"/>
    </font>
    <font>
      <name val="Arial1"/>
      <b val="1"/>
      <i val="1"/>
      <color indexed="8"/>
      <sz val="11"/>
      <u val="single"/>
    </font>
    <font>
      <name val="Calibri"/>
      <family val="2"/>
      <b val="1"/>
      <color indexed="56"/>
      <sz val="15"/>
    </font>
    <font>
      <name val="Arial"/>
      <family val="2"/>
      <b val="1"/>
      <color indexed="8"/>
      <sz val="10"/>
    </font>
    <font>
      <name val="ARIAL"/>
      <family val="2"/>
      <b val="1"/>
      <color indexed="8"/>
      <sz val="9"/>
    </font>
    <font>
      <name val="Arial"/>
      <family val="2"/>
      <color indexed="8"/>
      <sz val="9"/>
    </font>
    <font>
      <name val="Arial"/>
      <family val="2"/>
      <color indexed="8"/>
      <sz val="11"/>
    </font>
    <font>
      <name val="Arial2"/>
      <color indexed="12"/>
      <sz val="10"/>
    </font>
    <font>
      <name val="Arial"/>
      <family val="2"/>
      <sz val="9"/>
    </font>
    <font>
      <name val="Arial"/>
      <family val="2"/>
      <color indexed="8"/>
      <sz val="8"/>
    </font>
    <font>
      <name val="Arial1"/>
      <color indexed="8"/>
      <sz val="11"/>
    </font>
    <font>
      <name val="Arial"/>
      <family val="2"/>
      <b val="1"/>
      <sz val="9"/>
    </font>
    <font>
      <name val="Arial"/>
      <family val="2"/>
      <b val="1"/>
      <sz val="10"/>
    </font>
    <font>
      <name val="Arial2"/>
      <b val="1"/>
      <i val="1"/>
      <color indexed="8"/>
      <sz val="11"/>
    </font>
    <font>
      <name val="Calibri Light"/>
      <family val="2"/>
      <b val="1"/>
      <sz val="11"/>
    </font>
    <font>
      <name val="Calibri Light"/>
      <family val="2"/>
      <sz val="11"/>
    </font>
    <font>
      <name val="Arial1"/>
      <b val="1"/>
      <color indexed="8"/>
      <sz val="11"/>
    </font>
    <font>
      <name val="Arial1"/>
      <b val="1"/>
      <color indexed="8"/>
      <sz val="12"/>
    </font>
    <font>
      <name val="Arial1"/>
      <b val="1"/>
      <color indexed="8"/>
      <sz val="14"/>
    </font>
    <font>
      <name val="Arial1"/>
      <color indexed="8"/>
      <sz val="12"/>
    </font>
    <font>
      <name val="Calibri"/>
      <family val="2"/>
      <color indexed="8"/>
      <sz val="11"/>
    </font>
    <font>
      <name val="Arial"/>
      <family val="2"/>
      <b val="1"/>
      <color indexed="8"/>
      <sz val="11"/>
    </font>
    <font>
      <name val="Arial1"/>
      <b val="1"/>
      <color indexed="8"/>
      <sz val="10"/>
    </font>
    <font>
      <name val="Arial1"/>
      <color indexed="8"/>
      <sz val="10.5"/>
    </font>
    <font>
      <name val="Arial2"/>
      <b val="1"/>
      <color indexed="8"/>
      <sz val="11"/>
    </font>
    <font>
      <name val="Arial2"/>
      <color indexed="8"/>
      <sz val="8"/>
    </font>
    <font>
      <name val="Arial2"/>
      <color indexed="8"/>
      <sz val="9"/>
    </font>
    <font>
      <name val="Arial"/>
      <family val="2"/>
      <b val="1"/>
      <color indexed="8"/>
      <sz val="16"/>
    </font>
    <font>
      <name val="Arial"/>
      <family val="2"/>
      <color indexed="8"/>
      <sz val="10"/>
    </font>
    <font>
      <name val="Arial1"/>
      <b val="1"/>
      <color indexed="8"/>
      <sz val="16"/>
    </font>
    <font>
      <name val="Arial2"/>
      <b val="1"/>
      <color indexed="8"/>
      <sz val="10"/>
    </font>
    <font>
      <name val="Arial"/>
      <family val="2"/>
      <b val="1"/>
      <color indexed="8"/>
      <sz val="12"/>
    </font>
    <font>
      <name val="Arial1"/>
      <color indexed="8"/>
      <sz val="14"/>
    </font>
    <font>
      <name val="Arial2"/>
      <color indexed="8"/>
      <sz val="12"/>
    </font>
    <font>
      <name val="Arial2"/>
      <color indexed="8"/>
      <sz val="16"/>
    </font>
    <font>
      <name val="Arial2"/>
      <b val="1"/>
      <color indexed="8"/>
      <sz val="12"/>
    </font>
    <font>
      <name val="Arial2"/>
      <color indexed="10"/>
      <sz val="12"/>
    </font>
    <font>
      <name val="Arial2"/>
      <b val="1"/>
      <color indexed="10"/>
      <sz val="12"/>
    </font>
    <font>
      <name val="Arial2"/>
      <sz val="12"/>
    </font>
    <font>
      <name val="Arial"/>
      <family val="2"/>
      <b val="1"/>
      <color indexed="8"/>
      <sz val="14"/>
    </font>
    <font>
      <name val="Arial"/>
      <family val="2"/>
      <color indexed="8"/>
      <sz val="13"/>
    </font>
    <font>
      <name val="Arial1"/>
      <color indexed="8"/>
      <sz val="13"/>
    </font>
    <font>
      <name val="Segoe UI"/>
      <family val="2"/>
      <color rgb="FF000000"/>
      <sz val="11"/>
    </font>
  </fonts>
  <fills count="8">
    <fill>
      <patternFill/>
    </fill>
    <fill>
      <patternFill patternType="gray125"/>
    </fill>
    <fill>
      <patternFill patternType="solid">
        <fgColor indexed="9"/>
        <bgColor indexed="26"/>
      </patternFill>
    </fill>
    <fill>
      <patternFill patternType="solid">
        <fgColor indexed="27"/>
        <bgColor indexed="41"/>
      </patternFill>
    </fill>
    <fill>
      <patternFill patternType="solid">
        <fgColor indexed="55"/>
        <bgColor indexed="23"/>
      </patternFill>
    </fill>
    <fill>
      <patternFill patternType="solid">
        <fgColor theme="4" tint="0.7999816888943144"/>
        <bgColor indexed="26"/>
      </patternFill>
    </fill>
    <fill>
      <patternFill patternType="solid">
        <fgColor theme="4" tint="0.7999816888943144"/>
        <bgColor indexed="64"/>
      </patternFill>
    </fill>
    <fill>
      <patternFill patternType="solid">
        <fgColor theme="4" tint="0.5999938962981048"/>
        <bgColor indexed="64"/>
      </patternFill>
    </fill>
  </fills>
  <borders count="13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n">
        <color indexed="62"/>
      </bottom>
      <diagonal/>
    </border>
    <border>
      <left style="thin">
        <color indexed="55"/>
      </left>
      <right style="dotted">
        <color indexed="55"/>
      </right>
      <top/>
      <bottom style="dotted">
        <color indexed="55"/>
      </bottom>
      <diagonal/>
    </border>
    <border>
      <left style="thin">
        <color indexed="55"/>
      </left>
      <right style="dotted">
        <color indexed="55"/>
      </right>
      <top style="dotted">
        <color indexed="55"/>
      </top>
      <bottom style="dotted">
        <color indexed="55"/>
      </bottom>
      <diagonal/>
    </border>
    <border>
      <left style="dotted">
        <color indexed="55"/>
      </left>
      <right/>
      <top style="dotted">
        <color indexed="55"/>
      </top>
      <bottom style="dotted">
        <color indexed="55"/>
      </bottom>
      <diagonal/>
    </border>
    <border>
      <left style="dotted">
        <color indexed="55"/>
      </left>
      <right style="dotted">
        <color indexed="55"/>
      </right>
      <top style="dotted">
        <color indexed="55"/>
      </top>
      <bottom style="dotted">
        <color indexed="55"/>
      </bottom>
      <diagonal/>
    </border>
    <border>
      <left style="thin">
        <color indexed="55"/>
      </left>
      <right style="dotted">
        <color indexed="55"/>
      </right>
      <top style="dotted">
        <color indexed="55"/>
      </top>
      <bottom style="thin">
        <color indexed="55"/>
      </bottom>
      <diagonal/>
    </border>
    <border>
      <left style="dotted">
        <color indexed="55"/>
      </left>
      <right/>
      <top style="dotted">
        <color indexed="55"/>
      </top>
      <bottom style="thin">
        <color indexed="55"/>
      </bottom>
      <diagonal/>
    </border>
    <border>
      <left style="dotted">
        <color indexed="55"/>
      </left>
      <right style="dotted">
        <color indexed="55"/>
      </right>
      <top style="dotted">
        <color indexed="55"/>
      </top>
      <bottom style="thin">
        <color indexed="55"/>
      </bottom>
      <diagonal/>
    </border>
    <border>
      <left style="thin">
        <color indexed="55"/>
      </left>
      <right style="thin">
        <color indexed="55"/>
      </right>
      <top/>
      <bottom style="dotted">
        <color indexed="55"/>
      </bottom>
      <diagonal/>
    </border>
    <border>
      <left style="dotted">
        <color indexed="55"/>
      </left>
      <right style="thin">
        <color indexed="55"/>
      </right>
      <top style="dotted">
        <color indexed="55"/>
      </top>
      <bottom style="dotted">
        <color indexed="55"/>
      </bottom>
      <diagonal/>
    </border>
    <border>
      <left/>
      <right/>
      <top style="thin">
        <color indexed="8"/>
      </top>
      <bottom/>
      <diagonal/>
    </border>
    <border>
      <left style="dotted">
        <color indexed="55"/>
      </left>
      <right style="thin">
        <color indexed="55"/>
      </right>
      <top style="dotted">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55"/>
      </right>
      <top style="dotted">
        <color indexed="55"/>
      </top>
      <bottom/>
      <diagonal/>
    </border>
    <border>
      <left/>
      <right/>
      <top/>
      <bottom style="thin">
        <color indexed="8"/>
      </bottom>
      <diagonal/>
    </border>
    <border>
      <left style="medium">
        <color indexed="64"/>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22"/>
      </bottom>
      <diagonal/>
    </border>
    <border>
      <left/>
      <right style="thin">
        <color indexed="64"/>
      </right>
      <top/>
      <bottom style="thin">
        <color indexed="8"/>
      </bottom>
      <diagonal/>
    </border>
    <border>
      <left style="dotted">
        <color indexed="55"/>
      </left>
      <right/>
      <top style="thin">
        <color indexed="23"/>
      </top>
      <bottom style="dotted">
        <color indexed="55"/>
      </bottom>
      <diagonal/>
    </border>
    <border>
      <left/>
      <right/>
      <top style="thin">
        <color indexed="23"/>
      </top>
      <bottom style="dotted">
        <color indexed="55"/>
      </bottom>
      <diagonal/>
    </border>
    <border>
      <left/>
      <right style="thin">
        <color indexed="55"/>
      </right>
      <top style="thin">
        <color indexed="23"/>
      </top>
      <bottom style="dotted">
        <color indexed="55"/>
      </bottom>
      <diagonal/>
    </border>
    <border>
      <left/>
      <right/>
      <top style="thin">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23"/>
      </left>
      <right/>
      <top/>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22"/>
      </left>
      <right/>
      <top style="thin">
        <color indexed="22"/>
      </top>
      <bottom style="thin">
        <color indexed="22"/>
      </bottom>
      <diagonal/>
    </border>
    <border>
      <left/>
      <right/>
      <top style="thin">
        <color indexed="23"/>
      </top>
      <bottom/>
      <diagonal/>
    </border>
    <border>
      <left style="dotted">
        <color theme="0" tint="-0.3499862666707358"/>
      </left>
      <right style="dotted">
        <color theme="0" tint="-0.3499862666707358"/>
      </right>
      <top/>
      <bottom style="dotted">
        <color theme="0" tint="-0.3499862666707358"/>
      </bottom>
      <diagonal/>
    </border>
    <border>
      <left style="dotted">
        <color theme="0" tint="-0.3499862666707358"/>
      </left>
      <right style="dotted">
        <color theme="0" tint="-0.3499862666707358"/>
      </right>
      <top style="dotted">
        <color theme="0" tint="-0.3499862666707358"/>
      </top>
      <bottom style="dotted">
        <color theme="0" tint="-0.3499862666707358"/>
      </bottom>
      <diagonal/>
    </border>
    <border>
      <left style="dotted">
        <color theme="0" tint="-0.3499862666707358"/>
      </left>
      <right style="thin">
        <color theme="0" tint="-0.3499862666707358"/>
      </right>
      <top style="dotted">
        <color theme="0" tint="-0.3499862666707358"/>
      </top>
      <bottom style="dotted">
        <color theme="0" tint="-0.3499862666707358"/>
      </bottom>
      <diagonal/>
    </border>
    <border>
      <left style="dotted">
        <color theme="0" tint="-0.3499862666707358"/>
      </left>
      <right style="dotted">
        <color theme="0" tint="-0.3499862666707358"/>
      </right>
      <top style="dotted">
        <color theme="0" tint="-0.3499862666707358"/>
      </top>
      <bottom style="thin">
        <color theme="0" tint="-0.3499862666707358"/>
      </bottom>
      <diagonal/>
    </border>
    <border>
      <left style="dotted">
        <color theme="0" tint="-0.3499862666707358"/>
      </left>
      <right style="thin">
        <color theme="0" tint="-0.3499862666707358"/>
      </right>
      <top style="dotted">
        <color theme="0" tint="-0.3499862666707358"/>
      </top>
      <bottom style="thin">
        <color theme="0" tint="-0.3499862666707358"/>
      </bottom>
      <diagonal/>
    </border>
    <border>
      <left style="dotted">
        <color theme="0" tint="-0.3499862666707358"/>
      </left>
      <right style="dotted">
        <color theme="0" tint="-0.3499862666707358"/>
      </right>
      <top style="thin">
        <color theme="0" tint="-0.3499862666707358"/>
      </top>
      <bottom style="dotted">
        <color theme="0" tint="-0.3499862666707358"/>
      </bottom>
      <diagonal/>
    </border>
    <border>
      <left style="thin">
        <color indexed="55"/>
      </left>
      <right style="thin">
        <color theme="0" tint="-0.3499862666707358"/>
      </right>
      <top style="thin">
        <color theme="0" tint="-0.3499862666707358"/>
      </top>
      <bottom style="dotted">
        <color indexed="55"/>
      </bottom>
      <diagonal/>
    </border>
    <border>
      <left style="thin">
        <color theme="0" tint="-0.3499862666707358"/>
      </left>
      <right style="thin">
        <color theme="0" tint="-0.3499862666707358"/>
      </right>
      <top style="thin">
        <color theme="0" tint="-0.3499862666707358"/>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dotted">
        <color theme="0" tint="-0.3499862666707358"/>
      </bottom>
      <diagonal/>
    </border>
    <border>
      <left/>
      <right/>
      <top style="dotted">
        <color theme="0" tint="-0.3499862666707358"/>
      </top>
      <bottom style="dotted">
        <color theme="0" tint="-0.3499862666707358"/>
      </bottom>
      <diagonal/>
    </border>
    <border>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thin">
        <color theme="0" tint="-0.3499862666707358"/>
      </bottom>
      <diagonal/>
    </border>
    <border>
      <left/>
      <right/>
      <top style="dotted">
        <color theme="0" tint="-0.3499862666707358"/>
      </top>
      <bottom style="thin">
        <color theme="0" tint="-0.3499862666707358"/>
      </bottom>
      <diagonal/>
    </border>
    <border>
      <left/>
      <right style="dotted">
        <color theme="0" tint="-0.3499862666707358"/>
      </right>
      <top style="dotted">
        <color theme="0" tint="-0.3499862666707358"/>
      </top>
      <bottom style="thin">
        <color theme="0" tint="-0.3499862666707358"/>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dotted">
        <color theme="0" tint="-0.3499862666707358"/>
      </bottom>
      <diagonal/>
    </border>
    <border>
      <left/>
      <right/>
      <top style="thin">
        <color theme="0" tint="-0.3499862666707358"/>
      </top>
      <bottom style="dotted">
        <color theme="0" tint="-0.3499862666707358"/>
      </bottom>
      <diagonal/>
    </border>
    <border>
      <left/>
      <right style="dotted">
        <color theme="0" tint="-0.3499862666707358"/>
      </right>
      <top style="thin">
        <color theme="0" tint="-0.3499862666707358"/>
      </top>
      <bottom style="dotted">
        <color theme="0" tint="-0.3499862666707358"/>
      </bottom>
      <diagonal/>
    </border>
    <border>
      <left style="thin">
        <color indexed="64"/>
      </left>
      <right/>
      <top/>
      <bottom style="dotted">
        <color theme="0" tint="-0.3499862666707358"/>
      </bottom>
      <diagonal/>
    </border>
    <border>
      <left/>
      <right/>
      <top/>
      <bottom style="dotted">
        <color theme="0" tint="-0.3499862666707358"/>
      </bottom>
      <diagonal/>
    </border>
    <border>
      <left style="thin">
        <color theme="0" tint="-0.3499862666707358"/>
      </left>
      <right style="thin">
        <color theme="0" tint="-0.3499862666707358"/>
      </right>
      <top style="thin">
        <color indexed="64"/>
      </top>
      <bottom style="thin">
        <color theme="0" tint="-0.3499862666707358"/>
      </bottom>
      <diagonal/>
    </border>
    <border>
      <left style="thin">
        <color theme="0" tint="-0.3499862666707358"/>
      </left>
      <right style="medium">
        <color indexed="64"/>
      </right>
      <top style="thin">
        <color indexed="64"/>
      </top>
      <bottom style="thin">
        <color theme="0" tint="-0.3499862666707358"/>
      </bottom>
      <diagonal/>
    </border>
    <border>
      <left style="thin">
        <color theme="0" tint="-0.3499862666707358"/>
      </left>
      <right style="medium">
        <color indexed="64"/>
      </right>
      <top style="thin">
        <color theme="0" tint="-0.3499862666707358"/>
      </top>
      <bottom style="medium">
        <color indexed="64"/>
      </bottom>
      <diagonal/>
    </border>
    <border>
      <left style="medium">
        <color indexed="64"/>
      </left>
      <right style="thin">
        <color theme="0" tint="-0.3499862666707358"/>
      </right>
      <top style="thin">
        <color indexed="64"/>
      </top>
      <bottom style="thin">
        <color theme="0" tint="-0.3499862666707358"/>
      </bottom>
      <diagonal/>
    </border>
    <border>
      <left style="medium">
        <color indexed="64"/>
      </left>
      <right style="thin">
        <color theme="0" tint="-0.3499862666707358"/>
      </right>
      <top style="thin">
        <color theme="0" tint="-0.3499862666707358"/>
      </top>
      <bottom style="medium">
        <color indexed="64"/>
      </bottom>
      <diagonal/>
    </border>
    <border>
      <left style="thin">
        <color theme="0" tint="-0.3499862666707358"/>
      </left>
      <right style="dotted">
        <color theme="0" tint="-0.3499862666707358"/>
      </right>
      <top style="dotted">
        <color theme="0" tint="-0.3499862666707358"/>
      </top>
      <bottom style="dotted">
        <color theme="0" tint="-0.3499862666707358"/>
      </bottom>
      <diagonal/>
    </border>
    <border>
      <left/>
      <right/>
      <top style="dotted">
        <color theme="0" tint="-0.3499862666707358"/>
      </top>
      <bottom/>
      <diagonal/>
    </border>
    <border>
      <left/>
      <right style="dotted">
        <color theme="0" tint="-0.3499862666707358"/>
      </right>
      <top style="dotted">
        <color theme="0" tint="-0.3499862666707358"/>
      </top>
      <bottom/>
      <diagonal/>
    </border>
    <border>
      <left style="thin">
        <color theme="0" tint="-0.3499862666707358"/>
      </left>
      <right style="dotted">
        <color theme="0" tint="-0.3499862666707358"/>
      </right>
      <top style="dotted">
        <color theme="0" tint="-0.3499862666707358"/>
      </top>
      <bottom style="thin">
        <color theme="0" tint="-0.3499862666707358"/>
      </bottom>
      <diagonal/>
    </border>
    <border>
      <left/>
      <right/>
      <top style="dotted">
        <color indexed="55"/>
      </top>
      <bottom/>
      <diagonal/>
    </border>
    <border>
      <left/>
      <right style="dotted">
        <color indexed="55"/>
      </right>
      <top style="dotted">
        <color indexed="55"/>
      </top>
      <bottom style="dotted">
        <color indexed="55"/>
      </bottom>
      <diagonal/>
    </border>
    <border>
      <left/>
      <right/>
      <top style="thin">
        <color theme="0" tint="-0.3499862666707358"/>
      </top>
      <bottom/>
      <diagonal/>
    </border>
    <border>
      <left/>
      <right style="thin">
        <color theme="0" tint="-0.3499862666707358"/>
      </right>
      <top style="thin">
        <color theme="0" tint="-0.3499862666707358"/>
      </top>
      <bottom/>
      <diagonal/>
    </border>
    <border>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style="thin">
        <color theme="0" tint="-0.3499862666707358"/>
      </left>
      <right style="dotted">
        <color theme="0" tint="-0.3499862666707358"/>
      </right>
      <top style="thin">
        <color theme="0" tint="-0.3499862666707358"/>
      </top>
      <bottom style="dotted">
        <color theme="0" tint="-0.3499862666707358"/>
      </bottom>
      <diagonal/>
    </border>
    <border>
      <left/>
      <right style="dotted">
        <color theme="0" tint="-0.3499862666707358"/>
      </right>
      <top style="thin">
        <color theme="0" tint="-0.3499862666707358"/>
      </top>
      <bottom/>
      <diagonal/>
    </border>
    <border>
      <left/>
      <right style="thin">
        <color indexed="23"/>
      </right>
      <top style="thin">
        <color indexed="23"/>
      </top>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dotted">
        <color indexed="55"/>
      </left>
      <right style="thin">
        <color indexed="55"/>
      </right>
      <top style="thin">
        <color indexed="23"/>
      </top>
      <bottom style="dotted">
        <color indexed="55"/>
      </bottom>
      <diagonal/>
    </border>
    <border>
      <left/>
      <right style="thin">
        <color indexed="55"/>
      </right>
      <top style="thin">
        <color indexed="23"/>
      </top>
      <bottom/>
      <diagonal/>
    </border>
    <border>
      <left/>
      <right style="thin">
        <color indexed="55"/>
      </right>
      <top style="dotted">
        <color indexed="55"/>
      </top>
      <bottom/>
      <diagonal/>
    </border>
    <border>
      <left/>
      <right/>
      <top style="dotted">
        <color indexed="55"/>
      </top>
      <bottom style="dotted">
        <color indexed="55"/>
      </bottom>
      <diagonal/>
    </border>
    <border>
      <left/>
      <right style="thin">
        <color indexed="55"/>
      </right>
      <top style="dotted">
        <color indexed="55"/>
      </top>
      <bottom style="dotted">
        <color indexed="55"/>
      </bottom>
      <diagonal/>
    </border>
    <border>
      <left/>
      <right/>
      <top style="dotted">
        <color indexed="55"/>
      </top>
      <bottom style="thin">
        <color indexed="55"/>
      </bottom>
      <diagonal/>
    </border>
    <border>
      <left/>
      <right style="dotted">
        <color indexed="55"/>
      </right>
      <top style="dotted">
        <color indexed="55"/>
      </top>
      <bottom style="thin">
        <color indexed="55"/>
      </bottom>
      <diagonal/>
    </border>
    <border>
      <left/>
      <right style="thin">
        <color indexed="55"/>
      </right>
      <top/>
      <bottom/>
      <diagonal/>
    </border>
    <border>
      <left/>
      <right style="thin">
        <color indexed="55"/>
      </right>
      <top/>
      <bottom style="dotted">
        <color indexed="55"/>
      </bottom>
      <diagonal/>
    </border>
    <border>
      <left style="medium">
        <color indexed="64"/>
      </left>
      <right style="medium">
        <color indexed="64"/>
      </right>
      <top style="medium">
        <color indexed="64"/>
      </top>
      <bottom style="thin">
        <color indexed="64"/>
      </bottom>
      <diagonal/>
    </border>
    <border>
      <left/>
      <right style="thin">
        <color theme="0" tint="-0.3499862666707358"/>
      </right>
      <top style="thin">
        <color indexed="64"/>
      </top>
      <bottom/>
      <diagonal/>
    </border>
    <border>
      <left/>
      <right/>
      <top style="thin">
        <color indexed="64"/>
      </top>
      <bottom style="thin">
        <color theme="0" tint="-0.3499862666707358"/>
      </bottom>
      <diagonal/>
    </border>
    <border>
      <left/>
      <right style="thin">
        <color theme="0" tint="-0.3499862666707358"/>
      </right>
      <top style="thin">
        <color indexed="64"/>
      </top>
      <bottom style="thin">
        <color theme="0" tint="-0.3499862666707358"/>
      </bottom>
      <diagonal/>
    </border>
    <border>
      <left/>
      <right/>
      <top style="thin">
        <color theme="0" tint="-0.3499862666707358"/>
      </top>
      <bottom style="medium">
        <color indexed="64"/>
      </bottom>
      <diagonal/>
    </border>
    <border>
      <left/>
      <right style="thin">
        <color theme="0" tint="-0.3499862666707358"/>
      </right>
      <top style="thin">
        <color theme="0" tint="-0.3499862666707358"/>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22"/>
      </top>
      <bottom/>
      <diagonal/>
    </border>
    <border>
      <left/>
      <right style="thin">
        <color indexed="22"/>
      </right>
      <top style="thin">
        <color indexed="22"/>
      </top>
      <bottom/>
      <diagonal/>
    </border>
    <border>
      <left/>
      <right/>
      <top style="thin">
        <color indexed="22"/>
      </top>
      <bottom style="thin">
        <color indexed="22"/>
      </bottom>
      <diagonal/>
    </border>
    <border>
      <left/>
      <right style="thin">
        <color indexed="22"/>
      </right>
      <top/>
      <bottom/>
      <diagonal/>
    </border>
    <border>
      <left/>
      <right/>
      <top/>
      <bottom style="thin">
        <color indexed="22"/>
      </bottom>
      <diagonal/>
    </border>
    <border>
      <left/>
      <right style="thin">
        <color indexed="22"/>
      </right>
      <top/>
      <bottom style="thin">
        <color indexed="22"/>
      </bottom>
      <diagonal/>
    </border>
  </borders>
  <cellStyleXfs count="10">
    <xf numFmtId="0" fontId="14" fillId="0" borderId="0"/>
    <xf numFmtId="0" fontId="2" fillId="0" borderId="0" applyAlignment="1">
      <alignment horizontal="center"/>
    </xf>
    <xf numFmtId="0" fontId="2" fillId="0" borderId="0" applyAlignment="1">
      <alignment horizontal="center" textRotation="90"/>
    </xf>
    <xf numFmtId="44" fontId="1" fillId="0" borderId="0"/>
    <xf numFmtId="0" fontId="3" fillId="0" borderId="0"/>
    <xf numFmtId="0" fontId="14" fillId="0" borderId="0"/>
    <xf numFmtId="0" fontId="4" fillId="0" borderId="0"/>
    <xf numFmtId="0" fontId="5" fillId="0" borderId="0"/>
    <xf numFmtId="167" fontId="5" fillId="0" borderId="0"/>
    <xf numFmtId="0" fontId="6" fillId="0" borderId="3"/>
  </cellStyleXfs>
  <cellXfs count="374">
    <xf numFmtId="0" fontId="0" fillId="0" borderId="0" pivotButton="0" quotePrefix="0" xfId="0"/>
    <xf numFmtId="0" fontId="3" fillId="0" borderId="0" pivotButton="0" quotePrefix="0" xfId="0"/>
    <xf numFmtId="0" fontId="3" fillId="0" borderId="0" applyAlignment="1" pivotButton="0" quotePrefix="0" xfId="0">
      <alignment horizontal="center"/>
    </xf>
    <xf numFmtId="0" fontId="3" fillId="0" borderId="0" pivotButton="0" quotePrefix="0" xfId="0"/>
    <xf numFmtId="0" fontId="0" fillId="0" borderId="0" pivotButton="0" quotePrefix="0" xfId="0"/>
    <xf numFmtId="0" fontId="8" fillId="2" borderId="4" applyAlignment="1" pivotButton="0" quotePrefix="0" xfId="0">
      <alignment vertical="center" wrapText="1"/>
    </xf>
    <xf numFmtId="0" fontId="8" fillId="2" borderId="5" applyAlignment="1" pivotButton="0" quotePrefix="0" xfId="0">
      <alignment vertical="center" wrapText="1"/>
    </xf>
    <xf numFmtId="0" fontId="9" fillId="0" borderId="6" applyAlignment="1" pivotButton="0" quotePrefix="0" xfId="0">
      <alignment vertical="center"/>
    </xf>
    <xf numFmtId="0" fontId="8" fillId="2" borderId="7" applyAlignment="1" pivotButton="0" quotePrefix="0" xfId="0">
      <alignment vertical="center" wrapText="1"/>
    </xf>
    <xf numFmtId="0" fontId="9" fillId="0" borderId="6" applyAlignment="1" pivotButton="0" quotePrefix="0" xfId="0">
      <alignment vertical="center"/>
    </xf>
    <xf numFmtId="0" fontId="8" fillId="2" borderId="8" applyAlignment="1" pivotButton="0" quotePrefix="0" xfId="0">
      <alignment vertical="center" wrapText="1"/>
    </xf>
    <xf numFmtId="0" fontId="9" fillId="0" borderId="9" applyAlignment="1" pivotButton="0" quotePrefix="0" xfId="0">
      <alignment vertical="center"/>
    </xf>
    <xf numFmtId="0" fontId="8" fillId="2" borderId="10" applyAlignment="1" pivotButton="0" quotePrefix="0" xfId="0">
      <alignment vertical="center" wrapText="1"/>
    </xf>
    <xf numFmtId="0" fontId="8" fillId="2" borderId="11" applyAlignment="1" pivotButton="0" quotePrefix="0" xfId="0">
      <alignment horizontal="center" vertical="center" wrapText="1"/>
    </xf>
    <xf numFmtId="0" fontId="11" fillId="0" borderId="0" applyAlignment="1" pivotButton="0" quotePrefix="0" xfId="0">
      <alignment horizontal="center"/>
    </xf>
    <xf numFmtId="0" fontId="9" fillId="2" borderId="7" applyAlignment="1" pivotButton="0" quotePrefix="0" xfId="0">
      <alignment horizontal="center" vertical="center" wrapText="1"/>
    </xf>
    <xf numFmtId="0" fontId="9" fillId="2" borderId="12" applyAlignment="1" pivotButton="0" quotePrefix="0" xfId="0">
      <alignment horizontal="center" vertical="center" wrapText="1"/>
    </xf>
    <xf numFmtId="0" fontId="8" fillId="2" borderId="2" applyAlignment="1" pivotButton="0" quotePrefix="0" xfId="0">
      <alignment horizontal="center" vertical="center"/>
    </xf>
    <xf numFmtId="0" fontId="9" fillId="0" borderId="2" applyAlignment="1" pivotButton="0" quotePrefix="0" xfId="0">
      <alignment horizontal="center" vertical="center"/>
    </xf>
    <xf numFmtId="0" fontId="9" fillId="0" borderId="2" applyAlignment="1" pivotButton="0" quotePrefix="0" xfId="0">
      <alignment horizontal="center" vertical="center" wrapText="1"/>
    </xf>
    <xf numFmtId="0" fontId="12" fillId="2" borderId="2" applyAlignment="1" pivotButton="0" quotePrefix="0" xfId="0">
      <alignment horizontal="center" vertical="center" wrapText="1"/>
    </xf>
    <xf numFmtId="0" fontId="12" fillId="2" borderId="2" applyAlignment="1" pivotButton="0" quotePrefix="0" xfId="0">
      <alignment horizontal="center" vertical="center"/>
    </xf>
    <xf numFmtId="0" fontId="10" fillId="0" borderId="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5" pivotButton="0" quotePrefix="0" xfId="0"/>
    <xf numFmtId="0" fontId="0" fillId="0" borderId="16" pivotButton="0" quotePrefix="0" xfId="0"/>
    <xf numFmtId="0" fontId="0" fillId="0" borderId="17" pivotButton="0" quotePrefix="0" xfId="0"/>
    <xf numFmtId="0" fontId="0" fillId="0" borderId="18" pivotButton="0" quotePrefix="0" xfId="0"/>
    <xf numFmtId="0" fontId="0" fillId="0" borderId="0" pivotButton="0" quotePrefix="0" xfId="0"/>
    <xf numFmtId="0" fontId="0" fillId="0" borderId="19" pivotButton="0" quotePrefix="0" xfId="0"/>
    <xf numFmtId="0" fontId="18" fillId="0" borderId="18" applyAlignment="1" pivotButton="0" quotePrefix="0" xfId="0">
      <alignment vertical="center"/>
    </xf>
    <xf numFmtId="0" fontId="0" fillId="0" borderId="20" pivotButton="0" quotePrefix="0" xfId="0"/>
    <xf numFmtId="0" fontId="19" fillId="0" borderId="18" applyAlignment="1" pivotButton="0" quotePrefix="0" xfId="0">
      <alignment horizontal="center" vertical="center"/>
    </xf>
    <xf numFmtId="0" fontId="19" fillId="0" borderId="21" applyAlignment="1" pivotButton="0" quotePrefix="0" xfId="0">
      <alignment horizontal="center" vertical="center"/>
    </xf>
    <xf numFmtId="0" fontId="18" fillId="0" borderId="22" applyAlignment="1" pivotButton="0" quotePrefix="0" xfId="0">
      <alignment horizontal="center" vertical="center" wrapText="1"/>
    </xf>
    <xf numFmtId="0" fontId="0" fillId="0" borderId="23" pivotButton="0" quotePrefix="0" xfId="0"/>
    <xf numFmtId="0" fontId="0" fillId="0" borderId="24" pivotButton="0" quotePrefix="0" xfId="0"/>
    <xf numFmtId="0" fontId="0" fillId="0" borderId="25" applyAlignment="1" pivotButton="0" quotePrefix="0" xfId="0">
      <alignment horizontal="center" vertical="center"/>
    </xf>
    <xf numFmtId="0" fontId="0" fillId="0" borderId="24" applyAlignment="1" pivotButton="0" quotePrefix="0" xfId="0">
      <alignment vertical="center"/>
    </xf>
    <xf numFmtId="0" fontId="0" fillId="0" borderId="26" applyAlignment="1" pivotButton="0" quotePrefix="0" xfId="0">
      <alignment vertical="center"/>
    </xf>
    <xf numFmtId="0" fontId="20" fillId="0" borderId="25" applyAlignment="1" pivotButton="0" quotePrefix="0" xfId="0">
      <alignment horizontal="center" vertical="center"/>
    </xf>
    <xf numFmtId="2" fontId="0" fillId="0" borderId="25" applyAlignment="1" pivotButton="0" quotePrefix="0" xfId="0">
      <alignment horizontal="center" vertical="center"/>
    </xf>
    <xf numFmtId="0" fontId="20" fillId="0" borderId="23" applyAlignment="1" pivotButton="0" quotePrefix="0" xfId="0">
      <alignment vertical="center"/>
    </xf>
    <xf numFmtId="0" fontId="9" fillId="2" borderId="27" applyAlignment="1" pivotButton="0" quotePrefix="0" xfId="0">
      <alignment horizontal="center" vertical="center" wrapText="1"/>
    </xf>
    <xf numFmtId="0" fontId="28" fillId="0" borderId="28" applyAlignment="1" pivotButton="0" quotePrefix="0" xfId="0">
      <alignment wrapText="1"/>
    </xf>
    <xf numFmtId="0" fontId="14" fillId="0" borderId="0" pivotButton="0" quotePrefix="0" xfId="5"/>
    <xf numFmtId="0" fontId="0" fillId="0" borderId="0" pivotButton="0" quotePrefix="0" xfId="5"/>
    <xf numFmtId="0" fontId="29" fillId="0" borderId="0" applyAlignment="1" pivotButton="0" quotePrefix="0" xfId="5">
      <alignment wrapText="1"/>
    </xf>
    <xf numFmtId="0" fontId="30" fillId="2" borderId="2" applyAlignment="1" pivotButton="0" quotePrefix="0" xfId="5">
      <alignment horizontal="center" vertical="center" wrapText="1"/>
    </xf>
    <xf numFmtId="0" fontId="29" fillId="5" borderId="2" applyAlignment="1" pivotButton="0" quotePrefix="0" xfId="5">
      <alignment horizontal="center" vertical="center" wrapText="1"/>
    </xf>
    <xf numFmtId="0" fontId="29" fillId="2" borderId="2" applyAlignment="1" pivotButton="0" quotePrefix="0" xfId="5">
      <alignment horizontal="center" vertical="center" wrapText="1"/>
    </xf>
    <xf numFmtId="0" fontId="0" fillId="0" borderId="0" applyAlignment="1" pivotButton="0" quotePrefix="0" xfId="0">
      <alignment vertical="center"/>
    </xf>
    <xf numFmtId="0" fontId="31" fillId="2" borderId="29" applyAlignment="1" pivotButton="0" quotePrefix="0" xfId="0">
      <alignment horizontal="center" vertical="center" wrapText="1"/>
    </xf>
    <xf numFmtId="0" fontId="9" fillId="0" borderId="30" applyAlignment="1" pivotButton="0" quotePrefix="0" xfId="0">
      <alignment horizontal="left" vertical="center"/>
    </xf>
    <xf numFmtId="0" fontId="8" fillId="5" borderId="2" applyAlignment="1" pivotButton="0" quotePrefix="0" xfId="0">
      <alignment horizontal="center" vertical="center"/>
    </xf>
    <xf numFmtId="0" fontId="9" fillId="0" borderId="2" applyAlignment="1" pivotButton="0" quotePrefix="0" xfId="0">
      <alignment horizontal="center" vertical="center"/>
    </xf>
    <xf numFmtId="0" fontId="12" fillId="0" borderId="2" applyAlignment="1" pivotButton="0" quotePrefix="0" xfId="0">
      <alignment horizontal="center" vertical="center" wrapText="1"/>
    </xf>
    <xf numFmtId="0" fontId="12" fillId="0" borderId="2" applyAlignment="1" pivotButton="0" quotePrefix="0" xfId="0">
      <alignment horizontal="center" vertical="center"/>
    </xf>
    <xf numFmtId="0" fontId="9" fillId="0" borderId="2" applyAlignment="1" pivotButton="0" quotePrefix="0" xfId="0">
      <alignment horizontal="left" vertical="center"/>
    </xf>
    <xf numFmtId="0" fontId="9" fillId="0" borderId="2" applyAlignment="1" pivotButton="0" quotePrefix="0" xfId="0">
      <alignment horizontal="left" vertical="center" wrapText="1"/>
    </xf>
    <xf numFmtId="0" fontId="12" fillId="0" borderId="2" applyAlignment="1" pivotButton="0" quotePrefix="0" xfId="0">
      <alignment vertical="center"/>
    </xf>
    <xf numFmtId="0" fontId="3" fillId="2" borderId="2" applyAlignment="1" pivotButton="0" quotePrefix="0" xfId="5">
      <alignment horizontal="center" vertical="center" wrapText="1"/>
    </xf>
    <xf numFmtId="0" fontId="3" fillId="5" borderId="2" applyAlignment="1" pivotButton="0" quotePrefix="0" xfId="5">
      <alignment horizontal="center" vertical="center" wrapText="1"/>
    </xf>
    <xf numFmtId="0" fontId="20" fillId="0" borderId="24" applyAlignment="1" pivotButton="0" quotePrefix="0" xfId="0">
      <alignment vertical="center"/>
    </xf>
    <xf numFmtId="0" fontId="20" fillId="0" borderId="26" applyAlignment="1" pivotButton="0" quotePrefix="0" xfId="0">
      <alignment vertical="center"/>
    </xf>
    <xf numFmtId="0" fontId="0" fillId="0" borderId="23" applyAlignment="1" pivotButton="0" quotePrefix="0" xfId="0">
      <alignment horizontal="left" vertical="center" indent="1"/>
    </xf>
    <xf numFmtId="0" fontId="0" fillId="0" borderId="25" pivotButton="0" quotePrefix="0" xfId="0"/>
    <xf numFmtId="0" fontId="0" fillId="0" borderId="25" applyAlignment="1" pivotButton="0" quotePrefix="0" xfId="0">
      <alignment horizontal="center"/>
    </xf>
    <xf numFmtId="0" fontId="0" fillId="0" borderId="0" applyAlignment="1" pivotButton="0" quotePrefix="0" xfId="0">
      <alignment horizontal="right"/>
    </xf>
    <xf numFmtId="0" fontId="20" fillId="0" borderId="0" pivotButton="0" quotePrefix="0" xfId="0"/>
    <xf numFmtId="0" fontId="0" fillId="0" borderId="26" pivotButton="0" quotePrefix="0" xfId="0"/>
    <xf numFmtId="0" fontId="3" fillId="0" borderId="0" pivotButton="0" quotePrefix="0" xfId="0"/>
    <xf numFmtId="0" fontId="3" fillId="0" borderId="65" applyAlignment="1" pivotButton="0" quotePrefix="0" xfId="0">
      <alignment horizontal="center"/>
    </xf>
    <xf numFmtId="0" fontId="3" fillId="0" borderId="66" applyAlignment="1" pivotButton="0" quotePrefix="0" xfId="0">
      <alignment horizontal="center"/>
    </xf>
    <xf numFmtId="0" fontId="3" fillId="0" borderId="67" applyAlignment="1" pivotButton="0" quotePrefix="0" xfId="0">
      <alignment horizontal="center"/>
    </xf>
    <xf numFmtId="0" fontId="3" fillId="0" borderId="68" applyAlignment="1" pivotButton="0" quotePrefix="0" xfId="0">
      <alignment horizontal="center"/>
    </xf>
    <xf numFmtId="0" fontId="3" fillId="0" borderId="69" applyAlignment="1" pivotButton="0" quotePrefix="0" xfId="0">
      <alignment horizontal="center"/>
    </xf>
    <xf numFmtId="0" fontId="34" fillId="0" borderId="70" pivotButton="0" quotePrefix="0" xfId="0"/>
    <xf numFmtId="0" fontId="8" fillId="2" borderId="71" applyAlignment="1" pivotButton="0" quotePrefix="0" xfId="0">
      <alignment horizontal="center" vertical="center" wrapText="1"/>
    </xf>
    <xf numFmtId="14" fontId="0" fillId="0" borderId="0" pivotButton="0" quotePrefix="0" xfId="0"/>
    <xf numFmtId="1" fontId="0" fillId="0" borderId="25" pivotButton="0" quotePrefix="0" xfId="0"/>
    <xf numFmtId="1" fontId="0" fillId="0" borderId="31" pivotButton="0" quotePrefix="0" xfId="0"/>
    <xf numFmtId="4" fontId="34" fillId="0" borderId="69" applyAlignment="1" pivotButton="0" quotePrefix="0" xfId="0">
      <alignment horizontal="center"/>
    </xf>
    <xf numFmtId="0" fontId="36" fillId="0" borderId="0" pivotButton="0" quotePrefix="0" xfId="5"/>
    <xf numFmtId="0" fontId="14" fillId="0" borderId="0" applyAlignment="1" pivotButton="0" quotePrefix="0" xfId="5">
      <alignment wrapText="1"/>
    </xf>
    <xf numFmtId="0" fontId="37" fillId="2" borderId="2" applyAlignment="1" pivotButton="0" quotePrefix="0" xfId="5">
      <alignment horizontal="center" vertical="center" wrapText="1"/>
    </xf>
    <xf numFmtId="0" fontId="37" fillId="5" borderId="2" applyAlignment="1" pivotButton="0" quotePrefix="0" xfId="5">
      <alignment horizontal="center" vertical="center" wrapText="1"/>
    </xf>
    <xf numFmtId="0" fontId="37" fillId="0" borderId="2" applyAlignment="1" pivotButton="0" quotePrefix="0" xfId="5">
      <alignment horizontal="center" vertical="center" wrapText="1"/>
    </xf>
    <xf numFmtId="0" fontId="37" fillId="6" borderId="2" applyAlignment="1" pivotButton="0" quotePrefix="0" xfId="5">
      <alignment horizontal="center" vertical="center" wrapText="1"/>
    </xf>
    <xf numFmtId="0" fontId="18" fillId="0" borderId="22" applyAlignment="1" pivotButton="0" quotePrefix="0" xfId="0">
      <alignment horizontal="center" vertical="center"/>
    </xf>
    <xf numFmtId="166" fontId="31" fillId="2" borderId="72" applyAlignment="1" pivotButton="0" quotePrefix="0" xfId="0">
      <alignment horizontal="right" vertical="center" wrapText="1"/>
    </xf>
    <xf numFmtId="0" fontId="31" fillId="0" borderId="72" applyAlignment="1" pivotButton="0" quotePrefix="0" xfId="0">
      <alignment vertical="center"/>
    </xf>
    <xf numFmtId="0" fontId="0" fillId="0" borderId="25" applyAlignment="1" pivotButton="0" quotePrefix="0" xfId="0">
      <alignment horizontal="center" vertical="center"/>
    </xf>
    <xf numFmtId="0" fontId="35" fillId="2" borderId="32" applyAlignment="1" pivotButton="0" quotePrefix="0" xfId="0">
      <alignment horizontal="center" vertical="center" wrapText="1"/>
    </xf>
    <xf numFmtId="0" fontId="23" fillId="0" borderId="0" pivotButton="0" quotePrefix="0" xfId="5"/>
    <xf numFmtId="0" fontId="23" fillId="0" borderId="25" applyAlignment="1" pivotButton="0" quotePrefix="0" xfId="5">
      <alignment horizontal="center"/>
    </xf>
    <xf numFmtId="49" fontId="23" fillId="0" borderId="25" applyAlignment="1" pivotButton="0" quotePrefix="0" xfId="5">
      <alignment horizontal="right"/>
    </xf>
    <xf numFmtId="0" fontId="23" fillId="0" borderId="25" applyAlignment="1" pivotButton="0" quotePrefix="0" xfId="5">
      <alignment horizontal="right"/>
    </xf>
    <xf numFmtId="0" fontId="4" fillId="0" borderId="30" applyAlignment="1" pivotButton="0" quotePrefix="0" xfId="0">
      <alignment horizontal="left" vertical="center" indent="1"/>
    </xf>
    <xf numFmtId="0" fontId="4" fillId="0" borderId="30" applyAlignment="1" pivotButton="0" quotePrefix="0" xfId="0">
      <alignment horizontal="left" vertical="center" indent="1"/>
    </xf>
    <xf numFmtId="0" fontId="32" fillId="0" borderId="30" applyAlignment="1" pivotButton="0" quotePrefix="0" xfId="0">
      <alignment horizontal="left" vertical="center"/>
    </xf>
    <xf numFmtId="0" fontId="16" fillId="0" borderId="30" applyAlignment="1" pivotButton="0" quotePrefix="0" xfId="0">
      <alignment horizontal="left" vertical="center"/>
    </xf>
    <xf numFmtId="0" fontId="32" fillId="0" borderId="73" applyAlignment="1" pivotButton="0" quotePrefix="0" xfId="0">
      <alignment horizontal="center" vertical="center"/>
    </xf>
    <xf numFmtId="0" fontId="46" fillId="0" borderId="73" applyAlignment="1" pivotButton="0" quotePrefix="0" xfId="0">
      <alignment horizontal="center"/>
    </xf>
    <xf numFmtId="0" fontId="8" fillId="5" borderId="2" applyAlignment="1" pivotButton="0" quotePrefix="0" xfId="0">
      <alignment horizontal="center" vertical="center" wrapText="1"/>
    </xf>
    <xf numFmtId="0" fontId="3" fillId="0" borderId="74" applyAlignment="1" pivotButton="0" quotePrefix="0" xfId="0">
      <alignment vertical="top"/>
    </xf>
    <xf numFmtId="0" fontId="8" fillId="2" borderId="8" applyAlignment="1" pivotButton="0" quotePrefix="0" xfId="0">
      <alignment horizontal="left" vertical="center" wrapText="1"/>
    </xf>
    <xf numFmtId="0" fontId="9" fillId="2" borderId="5" applyAlignment="1" pivotButton="0" quotePrefix="0" xfId="0">
      <alignment horizontal="left" vertical="center" wrapText="1"/>
    </xf>
    <xf numFmtId="14" fontId="9" fillId="0" borderId="12" applyAlignment="1" applyProtection="1" pivotButton="0" quotePrefix="0" xfId="0">
      <alignment horizontal="left" vertical="center"/>
      <protection locked="0" hidden="0"/>
    </xf>
    <xf numFmtId="0" fontId="10" fillId="0" borderId="37" applyAlignment="1" pivotButton="0" quotePrefix="0" xfId="0">
      <alignment vertical="center"/>
    </xf>
    <xf numFmtId="0" fontId="7" fillId="4" borderId="1" applyAlignment="1" pivotButton="0" quotePrefix="0" xfId="0">
      <alignment horizontal="center" vertical="center"/>
    </xf>
    <xf numFmtId="0" fontId="8" fillId="2" borderId="11" applyAlignment="1" pivotButton="0" quotePrefix="0" xfId="0">
      <alignment horizontal="center" vertical="center" wrapText="1"/>
    </xf>
    <xf numFmtId="0" fontId="17" fillId="0" borderId="19" applyAlignment="1" pivotButton="0" quotePrefix="0" xfId="0">
      <alignment horizontal="center" wrapText="1"/>
    </xf>
    <xf numFmtId="0" fontId="17" fillId="0" borderId="33" applyAlignment="1" pivotButton="0" quotePrefix="0" xfId="0">
      <alignment horizontal="center" wrapText="1"/>
    </xf>
    <xf numFmtId="0" fontId="34" fillId="0" borderId="85" applyAlignment="1" pivotButton="0" quotePrefix="0" xfId="0">
      <alignment horizontal="left"/>
    </xf>
    <xf numFmtId="0" fontId="34" fillId="0" borderId="86" applyAlignment="1" pivotButton="0" quotePrefix="0" xfId="0">
      <alignment horizontal="left"/>
    </xf>
    <xf numFmtId="0" fontId="8" fillId="0" borderId="34" applyAlignment="1" pivotButton="0" quotePrefix="0" xfId="0">
      <alignment vertical="center"/>
    </xf>
    <xf numFmtId="0" fontId="8" fillId="0" borderId="35" applyAlignment="1" pivotButton="0" quotePrefix="0" xfId="0">
      <alignment vertical="center"/>
    </xf>
    <xf numFmtId="0" fontId="8" fillId="0" borderId="36" applyAlignment="1" pivotButton="0" quotePrefix="0" xfId="0">
      <alignment vertical="center"/>
    </xf>
    <xf numFmtId="0" fontId="9" fillId="0" borderId="12" applyAlignment="1" pivotButton="0" quotePrefix="0" xfId="0">
      <alignment vertical="center"/>
    </xf>
    <xf numFmtId="0" fontId="8" fillId="0" borderId="12" applyAlignment="1" pivotButton="0" quotePrefix="0" xfId="0">
      <alignment vertical="center"/>
    </xf>
    <xf numFmtId="0" fontId="9" fillId="2" borderId="12" applyAlignment="1" applyProtection="1" pivotButton="0" quotePrefix="0" xfId="0">
      <alignment horizontal="left" vertical="center" wrapText="1"/>
      <protection locked="0" hidden="0"/>
    </xf>
    <xf numFmtId="0" fontId="3" fillId="0" borderId="75" applyAlignment="1" pivotButton="0" quotePrefix="0" xfId="0">
      <alignment horizontal="left"/>
    </xf>
    <xf numFmtId="0" fontId="3" fillId="0" borderId="76" applyAlignment="1" pivotButton="0" quotePrefix="0" xfId="0">
      <alignment horizontal="left"/>
    </xf>
    <xf numFmtId="0" fontId="3" fillId="0" borderId="77" applyAlignment="1" pivotButton="0" quotePrefix="0" xfId="0">
      <alignment horizontal="left"/>
    </xf>
    <xf numFmtId="0" fontId="3" fillId="0" borderId="78" applyAlignment="1" pivotButton="0" quotePrefix="0" xfId="0">
      <alignment horizontal="left"/>
    </xf>
    <xf numFmtId="0" fontId="3" fillId="0" borderId="79" applyAlignment="1" pivotButton="0" quotePrefix="0" xfId="0">
      <alignment horizontal="left"/>
    </xf>
    <xf numFmtId="0" fontId="3" fillId="0" borderId="80" applyAlignment="1" pivotButton="0" quotePrefix="0" xfId="0">
      <alignment horizontal="left"/>
    </xf>
    <xf numFmtId="0" fontId="34" fillId="0" borderId="78" applyAlignment="1" pivotButton="0" quotePrefix="0" xfId="0">
      <alignment horizontal="left"/>
    </xf>
    <xf numFmtId="0" fontId="34" fillId="0" borderId="79" applyAlignment="1" pivotButton="0" quotePrefix="0" xfId="0">
      <alignment horizontal="left"/>
    </xf>
    <xf numFmtId="0" fontId="34" fillId="0" borderId="80" applyAlignment="1" pivotButton="0" quotePrefix="0" xfId="0">
      <alignment horizontal="left"/>
    </xf>
    <xf numFmtId="0" fontId="7" fillId="4" borderId="81" applyAlignment="1" pivotButton="0" quotePrefix="0" xfId="0">
      <alignment horizontal="center" vertical="center"/>
    </xf>
    <xf numFmtId="0" fontId="34" fillId="0" borderId="82" applyAlignment="1" pivotButton="0" quotePrefix="0" xfId="0">
      <alignment horizontal="center"/>
    </xf>
    <xf numFmtId="0" fontId="34" fillId="0" borderId="83" applyAlignment="1" pivotButton="0" quotePrefix="0" xfId="0">
      <alignment horizontal="center"/>
    </xf>
    <xf numFmtId="0" fontId="34" fillId="0" borderId="84" applyAlignment="1" pivotButton="0" quotePrefix="0" xfId="0">
      <alignment horizontal="center"/>
    </xf>
    <xf numFmtId="0" fontId="23" fillId="0" borderId="18" applyAlignment="1" pivotButton="0" quotePrefix="0" xfId="0">
      <alignment horizontal="center"/>
    </xf>
    <xf numFmtId="0" fontId="23" fillId="0" borderId="0" applyAlignment="1" pivotButton="0" quotePrefix="0" xfId="0">
      <alignment horizontal="center"/>
    </xf>
    <xf numFmtId="0" fontId="23" fillId="0" borderId="19" applyAlignment="1" pivotButton="0" quotePrefix="0" xfId="0">
      <alignment horizontal="center"/>
    </xf>
    <xf numFmtId="0" fontId="0" fillId="0" borderId="18"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9" applyAlignment="1" pivotButton="0" quotePrefix="0" xfId="0">
      <alignment horizontal="center" vertical="center" wrapText="1"/>
    </xf>
    <xf numFmtId="0" fontId="0" fillId="0" borderId="21" applyAlignment="1" pivotButton="0" quotePrefix="0" xfId="0">
      <alignment horizontal="center" vertical="center" wrapText="1"/>
    </xf>
    <xf numFmtId="0" fontId="0" fillId="0" borderId="20" applyAlignment="1" pivotButton="0" quotePrefix="0" xfId="0">
      <alignment horizontal="center" vertical="center" wrapText="1"/>
    </xf>
    <xf numFmtId="0" fontId="0" fillId="0" borderId="55" applyAlignment="1" pivotButton="0" quotePrefix="0" xfId="0">
      <alignment horizontal="center" vertical="center" wrapText="1"/>
    </xf>
    <xf numFmtId="0" fontId="20" fillId="0" borderId="25" applyAlignment="1" pivotButton="0" quotePrefix="0" xfId="0">
      <alignment horizontal="left" vertical="center"/>
    </xf>
    <xf numFmtId="0" fontId="0" fillId="0" borderId="25" applyAlignment="1" pivotButton="0" quotePrefix="0" xfId="0">
      <alignment horizontal="left" vertical="center"/>
    </xf>
    <xf numFmtId="14" fontId="0" fillId="0" borderId="25" applyAlignment="1" pivotButton="0" quotePrefix="0" xfId="0">
      <alignment horizontal="left" vertical="center"/>
    </xf>
    <xf numFmtId="0" fontId="0" fillId="0" borderId="0" applyAlignment="1" pivotButton="0" quotePrefix="0" xfId="0">
      <alignment horizontal="left"/>
    </xf>
    <xf numFmtId="0" fontId="0" fillId="0" borderId="19" applyAlignment="1" pivotButton="0" quotePrefix="0" xfId="0">
      <alignment horizontal="left"/>
    </xf>
    <xf numFmtId="0" fontId="0" fillId="0" borderId="21" applyAlignment="1" pivotButton="0" quotePrefix="0" xfId="0">
      <alignment horizontal="center" vertical="center"/>
    </xf>
    <xf numFmtId="0" fontId="0" fillId="0" borderId="20" applyAlignment="1" pivotButton="0" quotePrefix="0" xfId="0">
      <alignment horizontal="center" vertical="center"/>
    </xf>
    <xf numFmtId="1" fontId="33" fillId="0" borderId="51" applyAlignment="1" pivotButton="0" quotePrefix="0" xfId="0">
      <alignment horizontal="center" vertical="center" wrapText="1"/>
    </xf>
    <xf numFmtId="1" fontId="33" fillId="0" borderId="52" applyAlignment="1" pivotButton="0" quotePrefix="0" xfId="0">
      <alignment horizontal="center" vertical="center" wrapText="1"/>
    </xf>
    <xf numFmtId="1" fontId="33" fillId="0" borderId="53" applyAlignment="1" pivotButton="0" quotePrefix="0" xfId="0">
      <alignment horizontal="center" vertical="center" wrapText="1"/>
    </xf>
    <xf numFmtId="1" fontId="33" fillId="0" borderId="56" applyAlignment="1" pivotButton="0" quotePrefix="0" xfId="0">
      <alignment horizontal="center" vertical="center" wrapText="1"/>
    </xf>
    <xf numFmtId="1" fontId="33" fillId="0" borderId="0" applyAlignment="1" pivotButton="0" quotePrefix="0" xfId="0">
      <alignment horizontal="center" vertical="center" wrapText="1"/>
    </xf>
    <xf numFmtId="1" fontId="33" fillId="0" borderId="57" applyAlignment="1" pivotButton="0" quotePrefix="0" xfId="0">
      <alignment horizontal="center" vertical="center" wrapText="1"/>
    </xf>
    <xf numFmtId="1" fontId="33" fillId="0" borderId="58" applyAlignment="1" pivotButton="0" quotePrefix="0" xfId="0">
      <alignment horizontal="center" vertical="center" wrapText="1"/>
    </xf>
    <xf numFmtId="1" fontId="33" fillId="0" borderId="59" applyAlignment="1" pivotButton="0" quotePrefix="0" xfId="0">
      <alignment horizontal="center" vertical="center" wrapText="1"/>
    </xf>
    <xf numFmtId="1" fontId="33" fillId="0" borderId="60" applyAlignment="1" pivotButton="0" quotePrefix="0" xfId="0">
      <alignment horizontal="center" vertical="center" wrapText="1"/>
    </xf>
    <xf numFmtId="0" fontId="20" fillId="0" borderId="0" applyAlignment="1" pivotButton="0" quotePrefix="0" xfId="0">
      <alignment horizontal="center"/>
    </xf>
    <xf numFmtId="0" fontId="20" fillId="0" borderId="19" applyAlignment="1" pivotButton="0" quotePrefix="0" xfId="0">
      <alignment horizontal="center"/>
    </xf>
    <xf numFmtId="0" fontId="0" fillId="0" borderId="55" applyAlignment="1" pivotButton="0" quotePrefix="0" xfId="0">
      <alignment horizontal="center" vertical="center"/>
    </xf>
    <xf numFmtId="0" fontId="21" fillId="0" borderId="25" applyAlignment="1" pivotButton="0" quotePrefix="0" xfId="0">
      <alignment horizontal="center"/>
    </xf>
    <xf numFmtId="0" fontId="23" fillId="0" borderId="25" applyAlignment="1" pivotButton="0" quotePrefix="0" xfId="0">
      <alignment horizontal="center" vertical="center" wrapText="1"/>
    </xf>
    <xf numFmtId="0" fontId="27" fillId="0" borderId="18" applyAlignment="1" pivotButton="0" quotePrefix="0" xfId="0">
      <alignment horizontal="center" vertical="center" wrapText="1"/>
    </xf>
    <xf numFmtId="0" fontId="27" fillId="0" borderId="0" applyAlignment="1" pivotButton="0" quotePrefix="0" xfId="0">
      <alignment horizontal="center" vertical="center" wrapText="1"/>
    </xf>
    <xf numFmtId="0" fontId="27" fillId="0" borderId="19" applyAlignment="1" pivotButton="0" quotePrefix="0" xfId="0">
      <alignment horizontal="center" vertical="center" wrapText="1"/>
    </xf>
    <xf numFmtId="0" fontId="20" fillId="0" borderId="18" applyAlignment="1" pivotButton="0" quotePrefix="0" xfId="0">
      <alignment horizontal="center"/>
    </xf>
    <xf numFmtId="0" fontId="0" fillId="0" borderId="25" applyAlignment="1" pivotButton="0" quotePrefix="0" xfId="0">
      <alignment horizontal="left" vertical="center"/>
    </xf>
    <xf numFmtId="0" fontId="43" fillId="4" borderId="54" applyAlignment="1" pivotButton="0" quotePrefix="0" xfId="0">
      <alignment horizontal="center" vertical="center"/>
    </xf>
    <xf numFmtId="0" fontId="43" fillId="4" borderId="0" applyAlignment="1" pivotButton="0" quotePrefix="0" xfId="0">
      <alignment horizontal="center" vertical="center"/>
    </xf>
    <xf numFmtId="0" fontId="0" fillId="0" borderId="20" applyAlignment="1" pivotButton="0" quotePrefix="0" xfId="0">
      <alignment horizontal="left"/>
    </xf>
    <xf numFmtId="0" fontId="0" fillId="0" borderId="55" applyAlignment="1" pivotButton="0" quotePrefix="0" xfId="0">
      <alignment horizontal="left"/>
    </xf>
    <xf numFmtId="0" fontId="26" fillId="0" borderId="25" applyAlignment="1" pivotButton="0" quotePrefix="0" xfId="0">
      <alignment horizontal="center" vertical="center" wrapText="1"/>
    </xf>
    <xf numFmtId="0" fontId="22" fillId="0" borderId="25" applyAlignment="1" pivotButton="0" quotePrefix="0" xfId="0">
      <alignment horizontal="center" vertical="center" wrapText="1"/>
    </xf>
    <xf numFmtId="0" fontId="44" fillId="0" borderId="42" applyAlignment="1" pivotButton="0" quotePrefix="0" xfId="0">
      <alignment horizontal="center" vertical="center" wrapText="1"/>
    </xf>
    <xf numFmtId="0" fontId="44" fillId="0" borderId="25" applyAlignment="1" pivotButton="0" quotePrefix="0" xfId="0">
      <alignment horizontal="center" vertical="center" wrapText="1"/>
    </xf>
    <xf numFmtId="0" fontId="10" fillId="2" borderId="15" applyAlignment="1" pivotButton="0" quotePrefix="0" xfId="0">
      <alignment horizontal="center" vertical="center" wrapText="1"/>
    </xf>
    <xf numFmtId="0" fontId="10" fillId="2" borderId="16" applyAlignment="1" pivotButton="0" quotePrefix="0" xfId="0">
      <alignment horizontal="center" vertical="center" wrapText="1"/>
    </xf>
    <xf numFmtId="0" fontId="10" fillId="2" borderId="49" applyAlignment="1" pivotButton="0" quotePrefix="0" xfId="0">
      <alignment horizontal="center" vertical="center" wrapText="1"/>
    </xf>
    <xf numFmtId="0" fontId="10" fillId="2" borderId="21" applyAlignment="1" pivotButton="0" quotePrefix="0" xfId="0">
      <alignment horizontal="center" vertical="center" wrapText="1"/>
    </xf>
    <xf numFmtId="0" fontId="10" fillId="2" borderId="20" applyAlignment="1" pivotButton="0" quotePrefix="0" xfId="0">
      <alignment horizontal="center" vertical="center" wrapText="1"/>
    </xf>
    <xf numFmtId="0" fontId="10" fillId="2" borderId="50" applyAlignment="1" pivotButton="0" quotePrefix="0" xfId="0">
      <alignment horizontal="center" vertical="center" wrapText="1"/>
    </xf>
    <xf numFmtId="0" fontId="10" fillId="2" borderId="25" applyAlignment="1" pivotButton="0" quotePrefix="0" xfId="0">
      <alignment horizontal="center" vertical="center" wrapText="1"/>
    </xf>
    <xf numFmtId="0" fontId="20" fillId="0" borderId="25" applyAlignment="1" pivotButton="0" quotePrefix="0" xfId="0">
      <alignment horizontal="center" vertical="center" wrapText="1"/>
    </xf>
    <xf numFmtId="0" fontId="35" fillId="4" borderId="51" applyAlignment="1" pivotButton="0" quotePrefix="0" xfId="0">
      <alignment horizontal="center" vertical="center"/>
    </xf>
    <xf numFmtId="0" fontId="35" fillId="4" borderId="52" applyAlignment="1" pivotButton="0" quotePrefix="0" xfId="0">
      <alignment horizontal="center" vertical="center"/>
    </xf>
    <xf numFmtId="0" fontId="35" fillId="4" borderId="53" applyAlignment="1" pivotButton="0" quotePrefix="0" xfId="0">
      <alignment horizontal="center" vertical="center"/>
    </xf>
    <xf numFmtId="2" fontId="23" fillId="0" borderId="23" applyAlignment="1" pivotButton="0" quotePrefix="0" xfId="0">
      <alignment horizontal="center" vertical="center"/>
    </xf>
    <xf numFmtId="2" fontId="23" fillId="0" borderId="26" applyAlignment="1" pivotButton="0" quotePrefix="0" xfId="0">
      <alignment horizontal="center" vertical="center"/>
    </xf>
    <xf numFmtId="0" fontId="44" fillId="0" borderId="46" applyAlignment="1" pivotButton="0" quotePrefix="0" xfId="0">
      <alignment horizontal="center" vertical="center" wrapText="1"/>
    </xf>
    <xf numFmtId="0" fontId="44" fillId="0" borderId="47" applyAlignment="1" pivotButton="0" quotePrefix="0" xfId="0">
      <alignment horizontal="center" vertical="center" wrapText="1"/>
    </xf>
    <xf numFmtId="0" fontId="44" fillId="0" borderId="48" applyAlignment="1" pivotButton="0" quotePrefix="0" xfId="0">
      <alignment horizontal="center" vertical="center" wrapText="1"/>
    </xf>
    <xf numFmtId="0" fontId="44" fillId="0" borderId="23" applyAlignment="1" pivotButton="0" quotePrefix="0" xfId="0">
      <alignment horizontal="center" vertical="center" wrapText="1"/>
    </xf>
    <xf numFmtId="0" fontId="44" fillId="0" borderId="24" applyAlignment="1" pivotButton="0" quotePrefix="0" xfId="0">
      <alignment horizontal="center" vertical="center" wrapText="1"/>
    </xf>
    <xf numFmtId="0" fontId="44" fillId="0" borderId="26" applyAlignment="1" pivotButton="0" quotePrefix="0" xfId="0">
      <alignment horizontal="center" vertical="center" wrapText="1"/>
    </xf>
    <xf numFmtId="0" fontId="44" fillId="0" borderId="45" applyAlignment="1" pivotButton="0" quotePrefix="0" xfId="0">
      <alignment horizontal="center" vertical="center" wrapText="1"/>
    </xf>
    <xf numFmtId="0" fontId="44" fillId="0" borderId="41" applyAlignment="1" pivotButton="0" quotePrefix="0" xfId="0">
      <alignment horizontal="center" vertical="center" wrapText="1"/>
    </xf>
    <xf numFmtId="0" fontId="35" fillId="2" borderId="42" applyAlignment="1" pivotButton="0" quotePrefix="0" xfId="0">
      <alignment horizontal="center" vertical="center" wrapText="1"/>
    </xf>
    <xf numFmtId="0" fontId="35" fillId="2" borderId="25" applyAlignment="1" pivotButton="0" quotePrefix="0" xfId="0">
      <alignment horizontal="center" vertical="center" wrapText="1"/>
    </xf>
    <xf numFmtId="0" fontId="44" fillId="0" borderId="43" applyAlignment="1" pivotButton="0" quotePrefix="0" xfId="0">
      <alignment horizontal="center" vertical="center" wrapText="1"/>
    </xf>
    <xf numFmtId="0" fontId="35" fillId="2" borderId="44" applyAlignment="1" pivotButton="0" quotePrefix="0" xfId="0">
      <alignment horizontal="center" vertical="center" wrapText="1"/>
    </xf>
    <xf numFmtId="0" fontId="43" fillId="4" borderId="38" applyAlignment="1" pivotButton="0" quotePrefix="0" xfId="0">
      <alignment horizontal="center" vertical="center"/>
    </xf>
    <xf numFmtId="0" fontId="43" fillId="4" borderId="39" applyAlignment="1" pivotButton="0" quotePrefix="0" xfId="0">
      <alignment horizontal="center" vertical="center"/>
    </xf>
    <xf numFmtId="0" fontId="43" fillId="4" borderId="40" applyAlignment="1" pivotButton="0" quotePrefix="0" xfId="0">
      <alignment horizontal="center" vertical="center"/>
    </xf>
    <xf numFmtId="14" fontId="35" fillId="2" borderId="87" applyAlignment="1" pivotButton="0" quotePrefix="0" xfId="0">
      <alignment horizontal="center" vertical="center" wrapText="1"/>
    </xf>
    <xf numFmtId="14" fontId="35" fillId="2" borderId="88" applyAlignment="1" pivotButton="0" quotePrefix="0" xfId="0">
      <alignment horizontal="center" vertical="center" wrapText="1"/>
    </xf>
    <xf numFmtId="14" fontId="31" fillId="2" borderId="72" applyAlignment="1" pivotButton="0" quotePrefix="0" xfId="0">
      <alignment horizontal="center" vertical="center" wrapText="1"/>
    </xf>
    <xf numFmtId="14" fontId="31" fillId="2" borderId="89" applyAlignment="1" pivotButton="0" quotePrefix="0" xfId="0">
      <alignment horizontal="center" vertical="center" wrapText="1"/>
    </xf>
    <xf numFmtId="0" fontId="25" fillId="2" borderId="90" applyAlignment="1" pivotButton="0" quotePrefix="0" xfId="0">
      <alignment horizontal="left" vertical="center" wrapText="1"/>
    </xf>
    <xf numFmtId="0" fontId="25" fillId="2" borderId="87" applyAlignment="1" pivotButton="0" quotePrefix="0" xfId="0">
      <alignment horizontal="left" vertical="center" wrapText="1"/>
    </xf>
    <xf numFmtId="14" fontId="31" fillId="2" borderId="87" applyAlignment="1" pivotButton="0" quotePrefix="0" xfId="0">
      <alignment horizontal="center" vertical="center" wrapText="1"/>
    </xf>
    <xf numFmtId="0" fontId="25" fillId="2" borderId="91" applyAlignment="1" pivotButton="0" quotePrefix="0" xfId="0">
      <alignment horizontal="left" vertical="center" wrapText="1"/>
    </xf>
    <xf numFmtId="0" fontId="25" fillId="2" borderId="72" applyAlignment="1" pivotButton="0" quotePrefix="0" xfId="0">
      <alignment horizontal="left" vertical="center" wrapText="1"/>
    </xf>
    <xf numFmtId="0" fontId="24" fillId="0" borderId="22" applyAlignment="1" pivotButton="0" quotePrefix="0" xfId="0">
      <alignment horizontal="left" vertical="center" wrapText="1"/>
    </xf>
    <xf numFmtId="0" fontId="24" fillId="0" borderId="61" applyAlignment="1" pivotButton="0" quotePrefix="0" xfId="0">
      <alignment horizontal="left" vertical="center" wrapText="1"/>
    </xf>
    <xf numFmtId="0" fontId="24" fillId="0" borderId="31" applyAlignment="1" pivotButton="0" quotePrefix="0" xfId="0">
      <alignment horizontal="left" vertical="center" wrapText="1"/>
    </xf>
    <xf numFmtId="0" fontId="4" fillId="0" borderId="22" applyAlignment="1" pivotButton="0" quotePrefix="0" xfId="0">
      <alignment horizontal="left" vertical="center"/>
    </xf>
    <xf numFmtId="0" fontId="4" fillId="0" borderId="61" applyAlignment="1" pivotButton="0" quotePrefix="0" xfId="0">
      <alignment horizontal="left" vertical="center"/>
    </xf>
    <xf numFmtId="0" fontId="4" fillId="0" borderId="31" applyAlignment="1" pivotButton="0" quotePrefix="0" xfId="0">
      <alignment horizontal="left" vertical="center"/>
    </xf>
    <xf numFmtId="0" fontId="32" fillId="0" borderId="62" applyAlignment="1" pivotButton="0" quotePrefix="0" xfId="0">
      <alignment horizontal="left" vertical="center"/>
    </xf>
    <xf numFmtId="0" fontId="32" fillId="0" borderId="61" applyAlignment="1" pivotButton="0" quotePrefix="0" xfId="0">
      <alignment horizontal="left" vertical="center"/>
    </xf>
    <xf numFmtId="0" fontId="32" fillId="0" borderId="31" applyAlignment="1" pivotButton="0" quotePrefix="0" xfId="0">
      <alignment horizontal="left" vertical="center"/>
    </xf>
    <xf numFmtId="0" fontId="32" fillId="0" borderId="22" applyAlignment="1" pivotButton="0" quotePrefix="0" xfId="0">
      <alignment horizontal="left" vertical="center" wrapText="1"/>
    </xf>
    <xf numFmtId="0" fontId="32" fillId="0" borderId="61" applyAlignment="1" pivotButton="0" quotePrefix="0" xfId="0">
      <alignment horizontal="left" vertical="center" wrapText="1"/>
    </xf>
    <xf numFmtId="0" fontId="32" fillId="0" borderId="31" applyAlignment="1" pivotButton="0" quotePrefix="0" xfId="0">
      <alignment horizontal="left" vertical="center" wrapText="1"/>
    </xf>
    <xf numFmtId="0" fontId="10" fillId="0" borderId="22" applyAlignment="1" pivotButton="0" quotePrefix="0" xfId="0">
      <alignment horizontal="left" vertical="top"/>
    </xf>
    <xf numFmtId="0" fontId="10" fillId="0" borderId="61" applyAlignment="1" pivotButton="0" quotePrefix="0" xfId="0">
      <alignment horizontal="left" vertical="top"/>
    </xf>
    <xf numFmtId="0" fontId="10" fillId="0" borderId="31" applyAlignment="1" pivotButton="0" quotePrefix="0" xfId="0">
      <alignment horizontal="left" vertical="top"/>
    </xf>
    <xf numFmtId="0" fontId="38" fillId="2" borderId="63" applyAlignment="1" pivotButton="0" quotePrefix="0" xfId="5">
      <alignment horizontal="center" vertical="center" wrapText="1"/>
    </xf>
    <xf numFmtId="0" fontId="38" fillId="2" borderId="30" applyAlignment="1" pivotButton="0" quotePrefix="0" xfId="5">
      <alignment horizontal="center" vertical="center" wrapText="1"/>
    </xf>
    <xf numFmtId="0" fontId="39" fillId="5" borderId="2" applyAlignment="1" pivotButton="0" quotePrefix="0" xfId="5">
      <alignment horizontal="center" vertical="center" wrapText="1"/>
    </xf>
    <xf numFmtId="0" fontId="31" fillId="4" borderId="64" applyAlignment="1" pivotButton="0" quotePrefix="0" xfId="0">
      <alignment horizontal="center" vertical="center" wrapText="1"/>
    </xf>
    <xf numFmtId="0" fontId="31" fillId="4" borderId="0" applyAlignment="1" pivotButton="0" quotePrefix="0" xfId="0">
      <alignment horizontal="center" vertical="center" wrapText="1"/>
    </xf>
    <xf numFmtId="0" fontId="38" fillId="5" borderId="63" applyAlignment="1" pivotButton="0" quotePrefix="0" xfId="5">
      <alignment horizontal="center" vertical="center" wrapText="1"/>
    </xf>
    <xf numFmtId="0" fontId="38" fillId="5" borderId="30" applyAlignment="1" pivotButton="0" quotePrefix="0" xfId="5">
      <alignment horizontal="center" vertical="center" wrapText="1"/>
    </xf>
    <xf numFmtId="0" fontId="39" fillId="0" borderId="2" applyAlignment="1" pivotButton="0" quotePrefix="0" xfId="5">
      <alignment horizontal="center" vertical="center" wrapText="1"/>
    </xf>
    <xf numFmtId="0" fontId="38" fillId="0" borderId="63" applyAlignment="1" pivotButton="0" quotePrefix="0" xfId="5">
      <alignment horizontal="center" vertical="center" wrapText="1"/>
    </xf>
    <xf numFmtId="0" fontId="38" fillId="0" borderId="30" applyAlignment="1" pivotButton="0" quotePrefix="0" xfId="5">
      <alignment horizontal="center" vertical="center" wrapText="1"/>
    </xf>
    <xf numFmtId="0" fontId="39" fillId="2" borderId="2" applyAlignment="1" pivotButton="0" quotePrefix="0" xfId="5">
      <alignment horizontal="center" vertical="center" wrapText="1"/>
    </xf>
    <xf numFmtId="0" fontId="39" fillId="6" borderId="2" applyAlignment="1" pivotButton="0" quotePrefix="0" xfId="5">
      <alignment horizontal="center" vertical="center" wrapText="1"/>
    </xf>
    <xf numFmtId="0" fontId="38" fillId="6" borderId="63" applyAlignment="1" pivotButton="0" quotePrefix="0" xfId="5">
      <alignment horizontal="center" vertical="center" wrapText="1"/>
    </xf>
    <xf numFmtId="0" fontId="38" fillId="6" borderId="30" applyAlignment="1" pivotButton="0" quotePrefix="0" xfId="5">
      <alignment horizontal="center" vertical="center" wrapText="1"/>
    </xf>
    <xf numFmtId="0" fontId="28" fillId="2" borderId="2" applyAlignment="1" pivotButton="0" quotePrefix="0" xfId="5">
      <alignment horizontal="center" vertical="center" wrapText="1"/>
    </xf>
    <xf numFmtId="0" fontId="33" fillId="6" borderId="23" applyAlignment="1" pivotButton="0" quotePrefix="0" xfId="5">
      <alignment horizontal="center" vertical="center"/>
    </xf>
    <xf numFmtId="0" fontId="33" fillId="6" borderId="24" applyAlignment="1" pivotButton="0" quotePrefix="0" xfId="5">
      <alignment horizontal="center" vertical="center"/>
    </xf>
    <xf numFmtId="0" fontId="33" fillId="6" borderId="26" applyAlignment="1" pivotButton="0" quotePrefix="0" xfId="5">
      <alignment horizontal="center" vertical="center"/>
    </xf>
    <xf numFmtId="0" fontId="36" fillId="7" borderId="23" applyAlignment="1" pivotButton="0" quotePrefix="0" xfId="5">
      <alignment horizontal="center"/>
    </xf>
    <xf numFmtId="0" fontId="36" fillId="7" borderId="24" applyAlignment="1" pivotButton="0" quotePrefix="0" xfId="5">
      <alignment horizontal="center"/>
    </xf>
    <xf numFmtId="0" fontId="36" fillId="7" borderId="26" applyAlignment="1" pivotButton="0" quotePrefix="0" xfId="5">
      <alignment horizontal="center"/>
    </xf>
    <xf numFmtId="0" fontId="36" fillId="0" borderId="15" applyAlignment="1" pivotButton="0" quotePrefix="0" xfId="5">
      <alignment horizontal="center" vertical="center" wrapText="1"/>
    </xf>
    <xf numFmtId="0" fontId="36" fillId="0" borderId="16" applyAlignment="1" pivotButton="0" quotePrefix="0" xfId="5">
      <alignment horizontal="center" vertical="center" wrapText="1"/>
    </xf>
    <xf numFmtId="0" fontId="36" fillId="0" borderId="17" applyAlignment="1" pivotButton="0" quotePrefix="0" xfId="5">
      <alignment horizontal="center" vertical="center" wrapText="1"/>
    </xf>
    <xf numFmtId="0" fontId="36" fillId="0" borderId="21" applyAlignment="1" pivotButton="0" quotePrefix="0" xfId="5">
      <alignment horizontal="center" vertical="center" wrapText="1"/>
    </xf>
    <xf numFmtId="0" fontId="36" fillId="0" borderId="20" applyAlignment="1" pivotButton="0" quotePrefix="0" xfId="5">
      <alignment horizontal="center" vertical="center" wrapText="1"/>
    </xf>
    <xf numFmtId="0" fontId="36" fillId="0" borderId="55" applyAlignment="1" pivotButton="0" quotePrefix="0" xfId="5">
      <alignment horizontal="center" vertical="center" wrapText="1"/>
    </xf>
    <xf numFmtId="0" fontId="23" fillId="0" borderId="15" applyAlignment="1" pivotButton="0" quotePrefix="0" xfId="5">
      <alignment horizontal="center" vertical="center" wrapText="1"/>
    </xf>
    <xf numFmtId="0" fontId="23" fillId="0" borderId="17" applyAlignment="1" pivotButton="0" quotePrefix="0" xfId="5">
      <alignment horizontal="center" vertical="center" wrapText="1"/>
    </xf>
    <xf numFmtId="0" fontId="23" fillId="0" borderId="18" applyAlignment="1" pivotButton="0" quotePrefix="0" xfId="5">
      <alignment horizontal="center" vertical="center" wrapText="1"/>
    </xf>
    <xf numFmtId="0" fontId="23" fillId="0" borderId="19" applyAlignment="1" pivotButton="0" quotePrefix="0" xfId="5">
      <alignment horizontal="center" vertical="center" wrapText="1"/>
    </xf>
    <xf numFmtId="0" fontId="23" fillId="0" borderId="21" applyAlignment="1" pivotButton="0" quotePrefix="0" xfId="5">
      <alignment horizontal="center" vertical="center" wrapText="1"/>
    </xf>
    <xf numFmtId="0" fontId="23" fillId="0" borderId="55" applyAlignment="1" pivotButton="0" quotePrefix="0" xfId="5">
      <alignment horizontal="center" vertical="center" wrapText="1"/>
    </xf>
    <xf numFmtId="0" fontId="22" fillId="0" borderId="24" applyAlignment="1" pivotButton="0" quotePrefix="0" xfId="5">
      <alignment horizontal="center"/>
    </xf>
    <xf numFmtId="0" fontId="36" fillId="0" borderId="15" applyAlignment="1" pivotButton="0" quotePrefix="0" xfId="5">
      <alignment horizontal="center" wrapText="1"/>
    </xf>
    <xf numFmtId="0" fontId="36" fillId="0" borderId="16" applyAlignment="1" pivotButton="0" quotePrefix="0" xfId="5">
      <alignment horizontal="center" wrapText="1"/>
    </xf>
    <xf numFmtId="0" fontId="36" fillId="0" borderId="17" applyAlignment="1" pivotButton="0" quotePrefix="0" xfId="5">
      <alignment horizontal="center" wrapText="1"/>
    </xf>
    <xf numFmtId="0" fontId="36" fillId="0" borderId="21" applyAlignment="1" pivotButton="0" quotePrefix="0" xfId="5">
      <alignment horizontal="center" wrapText="1"/>
    </xf>
    <xf numFmtId="0" fontId="36" fillId="0" borderId="20" applyAlignment="1" pivotButton="0" quotePrefix="0" xfId="5">
      <alignment horizontal="center" wrapText="1"/>
    </xf>
    <xf numFmtId="0" fontId="36" fillId="0" borderId="55" applyAlignment="1" pivotButton="0" quotePrefix="0" xfId="5">
      <alignment horizontal="center" wrapText="1"/>
    </xf>
    <xf numFmtId="0" fontId="33" fillId="0" borderId="16" applyAlignment="1" pivotButton="0" quotePrefix="0" xfId="5">
      <alignment horizontal="center"/>
    </xf>
    <xf numFmtId="0" fontId="33" fillId="0" borderId="16" applyAlignment="1" pivotButton="0" quotePrefix="0" xfId="5">
      <alignment horizontal="center" wrapText="1"/>
    </xf>
    <xf numFmtId="0" fontId="23" fillId="0" borderId="23" applyAlignment="1" pivotButton="0" quotePrefix="0" xfId="5">
      <alignment horizontal="center"/>
    </xf>
    <xf numFmtId="0" fontId="23" fillId="0" borderId="24" applyAlignment="1" pivotButton="0" quotePrefix="0" xfId="5">
      <alignment horizontal="center"/>
    </xf>
    <xf numFmtId="0" fontId="23" fillId="0" borderId="26" applyAlignment="1" pivotButton="0" quotePrefix="0" xfId="5">
      <alignment horizontal="center"/>
    </xf>
    <xf numFmtId="0" fontId="23" fillId="0" borderId="22" applyAlignment="1" pivotButton="0" quotePrefix="0" xfId="5">
      <alignment horizontal="center" vertical="center"/>
    </xf>
    <xf numFmtId="0" fontId="23" fillId="0" borderId="61" applyAlignment="1" pivotButton="0" quotePrefix="0" xfId="5">
      <alignment horizontal="center" vertical="center"/>
    </xf>
    <xf numFmtId="0" fontId="23" fillId="0" borderId="31" applyAlignment="1" pivotButton="0" quotePrefix="0" xfId="5">
      <alignment horizontal="center" vertical="center"/>
    </xf>
    <xf numFmtId="0" fontId="21" fillId="0" borderId="24" applyAlignment="1" pivotButton="0" quotePrefix="0" xfId="5">
      <alignment horizontal="center"/>
    </xf>
    <xf numFmtId="0" fontId="45" fillId="0" borderId="15" applyAlignment="1" pivotButton="0" quotePrefix="0" xfId="5">
      <alignment horizontal="center" wrapText="1"/>
    </xf>
    <xf numFmtId="0" fontId="45" fillId="0" borderId="16" applyAlignment="1" pivotButton="0" quotePrefix="0" xfId="5">
      <alignment horizontal="center" wrapText="1"/>
    </xf>
    <xf numFmtId="0" fontId="45" fillId="0" borderId="17" applyAlignment="1" pivotButton="0" quotePrefix="0" xfId="5">
      <alignment horizontal="center" wrapText="1"/>
    </xf>
    <xf numFmtId="0" fontId="45" fillId="0" borderId="21" applyAlignment="1" pivotButton="0" quotePrefix="0" xfId="5">
      <alignment horizontal="center" wrapText="1"/>
    </xf>
    <xf numFmtId="0" fontId="45" fillId="0" borderId="20" applyAlignment="1" pivotButton="0" quotePrefix="0" xfId="5">
      <alignment horizontal="center" wrapText="1"/>
    </xf>
    <xf numFmtId="0" fontId="45" fillId="0" borderId="55" applyAlignment="1" pivotButton="0" quotePrefix="0" xfId="5">
      <alignment horizontal="center" wrapText="1"/>
    </xf>
    <xf numFmtId="0" fontId="23" fillId="0" borderId="25" applyAlignment="1" pivotButton="0" quotePrefix="0" xfId="5">
      <alignment horizontal="center" vertical="center" wrapText="1"/>
    </xf>
    <xf numFmtId="0" fontId="35" fillId="2" borderId="32" applyAlignment="1" pivotButton="0" quotePrefix="0" xfId="0">
      <alignment horizontal="center" vertical="center" wrapText="1"/>
    </xf>
    <xf numFmtId="0" fontId="0" fillId="0" borderId="86" pivotButton="0" quotePrefix="0" xfId="0"/>
    <xf numFmtId="0" fontId="0" fillId="0" borderId="33" pivotButton="0" quotePrefix="0" xfId="0"/>
    <xf numFmtId="0" fontId="0" fillId="0" borderId="105" pivotButton="0" quotePrefix="0" xfId="0"/>
    <xf numFmtId="0" fontId="0" fillId="0" borderId="106" pivotButton="0" quotePrefix="0" xfId="0"/>
    <xf numFmtId="0" fontId="8" fillId="0" borderId="107" applyAlignment="1" pivotButton="0" quotePrefix="0" xfId="0">
      <alignment vertical="center"/>
    </xf>
    <xf numFmtId="0" fontId="0" fillId="0" borderId="35" pivotButton="0" quotePrefix="0" xfId="0"/>
    <xf numFmtId="0" fontId="0" fillId="0" borderId="36" pivotButton="0" quotePrefix="0" xfId="0"/>
    <xf numFmtId="0" fontId="0" fillId="0" borderId="110" pivotButton="0" quotePrefix="0" xfId="0"/>
    <xf numFmtId="0" fontId="0" fillId="0" borderId="111" pivotButton="0" quotePrefix="0" xfId="0"/>
    <xf numFmtId="0" fontId="0" fillId="0" borderId="111" applyProtection="1" pivotButton="0" quotePrefix="0" xfId="0">
      <protection locked="0" hidden="0"/>
    </xf>
    <xf numFmtId="0" fontId="0" fillId="0" borderId="37" pivotButton="0" quotePrefix="0" xfId="0"/>
    <xf numFmtId="0" fontId="0" fillId="0" borderId="115" pivotButton="0" quotePrefix="0" xfId="0"/>
    <xf numFmtId="0" fontId="0" fillId="0" borderId="97" pivotButton="0" quotePrefix="0" xfId="0"/>
    <xf numFmtId="0" fontId="0" fillId="0" borderId="112" pivotButton="0" quotePrefix="0" xfId="0"/>
    <xf numFmtId="0" fontId="0" fillId="0" borderId="1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00" pivotButton="0" quotePrefix="0" xfId="0"/>
    <xf numFmtId="0" fontId="0" fillId="0" borderId="101" pivotButton="0" quotePrefix="0" xfId="0"/>
    <xf numFmtId="0" fontId="34" fillId="0" borderId="102" applyAlignment="1" pivotButton="0" quotePrefix="0" xfId="0">
      <alignment horizontal="center"/>
    </xf>
    <xf numFmtId="0" fontId="0" fillId="0" borderId="83" pivotButton="0" quotePrefix="0" xfId="0"/>
    <xf numFmtId="0" fontId="0" fillId="0" borderId="84" pivotButton="0" quotePrefix="0" xfId="0"/>
    <xf numFmtId="0" fontId="3" fillId="0" borderId="92" applyAlignment="1" pivotButton="0" quotePrefix="0" xfId="0">
      <alignment horizontal="left"/>
    </xf>
    <xf numFmtId="0" fontId="0" fillId="0" borderId="76" pivotButton="0" quotePrefix="0" xfId="0"/>
    <xf numFmtId="0" fontId="0" fillId="0" borderId="77" pivotButton="0" quotePrefix="0" xfId="0"/>
    <xf numFmtId="0" fontId="3" fillId="0" borderId="95" applyAlignment="1" pivotButton="0" quotePrefix="0" xfId="0">
      <alignment horizontal="left"/>
    </xf>
    <xf numFmtId="0" fontId="0" fillId="0" borderId="79" pivotButton="0" quotePrefix="0" xfId="0"/>
    <xf numFmtId="0" fontId="0" fillId="0" borderId="80" pivotButton="0" quotePrefix="0" xfId="0"/>
    <xf numFmtId="0" fontId="34" fillId="0" borderId="95" applyAlignment="1" pivotButton="0" quotePrefix="0" xfId="0">
      <alignment horizontal="left"/>
    </xf>
    <xf numFmtId="0" fontId="23" fillId="0" borderId="61" applyAlignment="1" pivotButton="0" quotePrefix="0" xfId="0">
      <alignment horizontal="center"/>
    </xf>
    <xf numFmtId="0" fontId="0" fillId="0" borderId="31" applyAlignment="1" pivotButton="0" quotePrefix="0" xfId="0">
      <alignment horizontal="center" vertical="center" wrapText="1"/>
    </xf>
    <xf numFmtId="0" fontId="0" fillId="0" borderId="21" pivotButton="0" quotePrefix="0" xfId="0"/>
    <xf numFmtId="0" fontId="0" fillId="0" borderId="55" pivotButton="0" quotePrefix="0" xfId="0"/>
    <xf numFmtId="2" fontId="23" fillId="0" borderId="25" applyAlignment="1" pivotButton="0" quotePrefix="0" xfId="0">
      <alignment horizontal="center" vertical="center"/>
    </xf>
    <xf numFmtId="0" fontId="27" fillId="0" borderId="61" applyAlignment="1" pivotButton="0" quotePrefix="0" xfId="0">
      <alignment horizontal="center" vertical="center" wrapText="1"/>
    </xf>
    <xf numFmtId="0" fontId="35" fillId="4" borderId="125" applyAlignment="1" pivotButton="0" quotePrefix="0" xfId="0">
      <alignment horizontal="center" vertical="center"/>
    </xf>
    <xf numFmtId="0" fontId="0" fillId="0" borderId="52" pivotButton="0" quotePrefix="0" xfId="0"/>
    <xf numFmtId="0" fontId="0" fillId="0" borderId="53" pivotButton="0" quotePrefix="0" xfId="0"/>
    <xf numFmtId="0" fontId="0" fillId="0" borderId="56" pivotButton="0" quotePrefix="0" xfId="0"/>
    <xf numFmtId="0" fontId="10" fillId="2" borderId="44" applyAlignment="1" pivotButton="0" quotePrefix="0" xfId="0">
      <alignment horizontal="center" vertical="center" wrapText="1"/>
    </xf>
    <xf numFmtId="0" fontId="0" fillId="0" borderId="49" pivotButton="0" quotePrefix="0" xfId="0"/>
    <xf numFmtId="1" fontId="33" fillId="0" borderId="29" applyAlignment="1" pivotButton="0" quotePrefix="0" xfId="0">
      <alignment horizontal="center" vertical="center" wrapText="1"/>
    </xf>
    <xf numFmtId="0" fontId="0" fillId="0" borderId="123" pivotButton="0" quotePrefix="0" xfId="0"/>
    <xf numFmtId="0" fontId="0" fillId="0" borderId="50" pivotButton="0" quotePrefix="0" xfId="0"/>
    <xf numFmtId="0" fontId="0" fillId="0" borderId="57" pivotButton="0" quotePrefix="0" xfId="0"/>
    <xf numFmtId="0" fontId="44" fillId="0" borderId="44" applyAlignment="1" pivotButton="0" quotePrefix="0" xfId="0">
      <alignment horizontal="center" vertical="center" wrapText="1"/>
    </xf>
    <xf numFmtId="0" fontId="0" fillId="0" borderId="45"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47" pivotButton="0" quotePrefix="0" xfId="0"/>
    <xf numFmtId="0" fontId="0" fillId="0" borderId="122" pivotButton="0" quotePrefix="0" xfId="0"/>
    <xf numFmtId="0" fontId="44" fillId="0" borderId="124" applyAlignment="1" pivotButton="0" quotePrefix="0" xfId="0">
      <alignment horizontal="center" vertical="center" wrapText="1"/>
    </xf>
    <xf numFmtId="0" fontId="0" fillId="0" borderId="48" pivotButton="0" quotePrefix="0" xfId="0"/>
    <xf numFmtId="0" fontId="43" fillId="4" borderId="116" applyAlignment="1" pivotButton="0" quotePrefix="0" xfId="0">
      <alignment horizontal="center" vertical="center"/>
    </xf>
    <xf numFmtId="0" fontId="0" fillId="0" borderId="39" pivotButton="0" quotePrefix="0" xfId="0"/>
    <xf numFmtId="0" fontId="0" fillId="0" borderId="40" pivotButton="0" quotePrefix="0" xfId="0"/>
    <xf numFmtId="0" fontId="0" fillId="0" borderId="119" pivotButton="0" quotePrefix="0" xfId="0"/>
    <xf numFmtId="0" fontId="0" fillId="0" borderId="118" pivotButton="0" quotePrefix="0" xfId="0"/>
    <xf numFmtId="0" fontId="0" fillId="0" borderId="121" pivotButton="0" quotePrefix="0" xfId="0"/>
    <xf numFmtId="166" fontId="31" fillId="2" borderId="72" applyAlignment="1" pivotButton="0" quotePrefix="0" xfId="0">
      <alignment horizontal="right" vertical="center" wrapText="1"/>
    </xf>
    <xf numFmtId="0" fontId="0" fillId="0" borderId="120" pivotButton="0" quotePrefix="0" xfId="0"/>
    <xf numFmtId="0" fontId="32" fillId="0" borderId="126" applyAlignment="1" pivotButton="0" quotePrefix="0" xfId="0">
      <alignment horizontal="left" vertical="center"/>
    </xf>
    <xf numFmtId="0" fontId="10" fillId="0" borderId="25" applyAlignment="1" pivotButton="0" quotePrefix="0" xfId="0">
      <alignment horizontal="left" vertical="top"/>
    </xf>
    <xf numFmtId="0" fontId="0" fillId="0" borderId="61" pivotButton="0" quotePrefix="0" xfId="0"/>
    <xf numFmtId="0" fontId="0" fillId="0" borderId="31" pivotButton="0" quotePrefix="0" xfId="0"/>
    <xf numFmtId="0" fontId="24" fillId="0" borderId="25" applyAlignment="1" pivotButton="0" quotePrefix="0" xfId="0">
      <alignment horizontal="left" vertical="center" wrapText="1"/>
    </xf>
    <xf numFmtId="0" fontId="4" fillId="0" borderId="25" applyAlignment="1" pivotButton="0" quotePrefix="0" xfId="0">
      <alignment horizontal="left" vertical="center"/>
    </xf>
    <xf numFmtId="0" fontId="32" fillId="0" borderId="25" applyAlignment="1" pivotButton="0" quotePrefix="0" xfId="0">
      <alignment horizontal="left" vertical="center" wrapText="1"/>
    </xf>
    <xf numFmtId="0" fontId="33" fillId="6" borderId="25" applyAlignment="1" pivotButton="0" quotePrefix="0" xfId="5">
      <alignment horizontal="center" vertical="center"/>
    </xf>
    <xf numFmtId="0" fontId="36" fillId="7" borderId="25" applyAlignment="1" pivotButton="0" quotePrefix="0" xfId="5">
      <alignment horizontal="center"/>
    </xf>
    <xf numFmtId="0" fontId="36" fillId="0" borderId="25" applyAlignment="1" pivotButton="0" quotePrefix="0" xfId="5">
      <alignment horizontal="center" vertical="center" wrapText="1"/>
    </xf>
    <xf numFmtId="0" fontId="36" fillId="0" borderId="25" applyAlignment="1" pivotButton="0" quotePrefix="0" xfId="5">
      <alignment horizontal="center" wrapText="1"/>
    </xf>
    <xf numFmtId="0" fontId="23" fillId="0" borderId="25" applyAlignment="1" pivotButton="0" quotePrefix="0" xfId="5">
      <alignment horizontal="center" vertical="center"/>
    </xf>
    <xf numFmtId="0" fontId="45" fillId="0" borderId="25" applyAlignment="1" pivotButton="0" quotePrefix="0" xfId="5">
      <alignment horizontal="center" wrapText="1"/>
    </xf>
    <xf numFmtId="0" fontId="0" fillId="0" borderId="64" pivotButton="0" quotePrefix="0" xfId="0"/>
    <xf numFmtId="0" fontId="0" fillId="0" borderId="131" pivotButton="0" quotePrefix="0" xfId="0"/>
    <xf numFmtId="0" fontId="0" fillId="0" borderId="132" pivotButton="0" quotePrefix="0" xfId="0"/>
    <xf numFmtId="0" fontId="0" fillId="0" borderId="129" pivotButton="0" quotePrefix="0" xfId="0"/>
    <xf numFmtId="0" fontId="0" fillId="0" borderId="30" pivotButton="0" quotePrefix="0" xfId="0"/>
    <xf numFmtId="0" fontId="38" fillId="2" borderId="2" applyAlignment="1" pivotButton="0" quotePrefix="0" xfId="5">
      <alignment horizontal="center" vertical="center" wrapText="1"/>
    </xf>
    <xf numFmtId="0" fontId="38" fillId="5" borderId="2" applyAlignment="1" pivotButton="0" quotePrefix="0" xfId="5">
      <alignment horizontal="center" vertical="center" wrapText="1"/>
    </xf>
    <xf numFmtId="0" fontId="38" fillId="0" borderId="2" applyAlignment="1" pivotButton="0" quotePrefix="0" xfId="5">
      <alignment horizontal="center" vertical="center" wrapText="1"/>
    </xf>
    <xf numFmtId="0" fontId="38" fillId="6" borderId="2" applyAlignment="1" pivotButton="0" quotePrefix="0" xfId="5">
      <alignment horizontal="center" vertical="center" wrapText="1"/>
    </xf>
  </cellXfs>
  <cellStyles count="10">
    <cellStyle name="Normal" xfId="0" builtinId="0"/>
    <cellStyle name="Heading" xfId="1"/>
    <cellStyle name="Heading1" xfId="2"/>
    <cellStyle name="Moeda" xfId="3" builtinId="4"/>
    <cellStyle name="Normal 2" xfId="4"/>
    <cellStyle name="Normal 3" xfId="5"/>
    <cellStyle name="Normal 4" xfId="6"/>
    <cellStyle name="Result" xfId="7"/>
    <cellStyle name="Result2" xfId="8"/>
    <cellStyle name="Título 1 1" xfId="9"/>
  </cellStyles>
  <dxfs count="48">
    <dxf>
      <font>
        <b val="1"/>
      </font>
      <fill>
        <patternFill>
          <bgColor theme="5" tint="0.7999816888943144"/>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7999816888943144"/>
        </patternFill>
      </fill>
    </dxf>
    <dxf>
      <font>
        <b val="1"/>
      </font>
      <fill>
        <patternFill>
          <bgColor theme="4" tint="0.5999633777886288"/>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None</author>
  </authors>
  <commentList>
    <comment ref="C3" authorId="0" shapeId="0">
      <text>
        <t>O processo é a menor unidade de atividade significativa para o usuário?
É auto-contido e deixa o negócio da aplicação em um estado consistente?</t>
      </text>
    </comment>
    <comment ref="D3" authorId="0" shapeId="0">
      <text>
        <t>Tipo de Função:
EE - Cadastros/Alteração de Dados / Scripts;
CE - Consultas e Relatórios sem Cálculo.
SE - Consultas e Relatórios com Cálculo;
ALI - Alteração de Entidades;
AIE - Integração com Sistemas Externos;</t>
      </text>
    </comment>
    <comment ref="E3" authorId="0" shapeId="0">
      <text>
        <t>Tipo de Manutenção na função:
I -Inclusão
A - Alteração
E - Exclusão
T - Testes
Cenarios do SISP descritos na aba Itens não mensuráveis</t>
      </text>
    </comment>
    <comment ref="F3" authorId="0" shapeId="0">
      <text>
        <t>Tipos de Dados (DETs)
Para Cadastros/Consultas e Relatórios (EE/CE/SE) contar os campos em tela e relatório. Contar todos os campos sem repetir dados (Filtros x Grid ou Filtros x Relatório) e no final somar + 2 (Comando e Mensagem).
Para alterações de modelo/tabelas (ALI), contar todas as colunas das tabelas que pertencem ao ALI (sem repetir FK). 
Para integrações (AIE) ou Scripts, contar os campos envolvidos no Script ou Serviço.</t>
      </text>
    </comment>
    <comment ref="H3" authorId="0" shapeId="0">
      <text>
        <t>Arquivos Referenciados/ Tipos de Registro
Para Cadastros, Consultas e Relatórios (EE/CE/SE) contar o nº de ALI's envolvidos no Cadastro/Consulta. Incluir os ALIs identificados no campo de Observações.
Para os ALI's, contar o nº de tabelas físicas que compõem o ALI.
Para integrações (AIE) ou Scripts, contar o nº de tabelas envolvidas.</t>
      </text>
    </comment>
  </commentList>
</comments>
</file>

<file path=xl/externalLinks/_rels/externalLink1.xml.rels><Relationships xmlns="http://schemas.openxmlformats.org/package/2006/relationships"><Relationship Type="http://schemas.openxmlformats.org/officeDocument/2006/relationships/externalLinkPath" Target="/Documents%20and%20Settings/kenia/Meus%20documentos/Planilha%20de%20pontos%20de%20fun&#231;&#227;o%20-%20TJSP.xls" TargetMode="External" Id="rId1"/></Relationships>
</file>

<file path=xl/externalLinks/_rels/externalLink2.xml.rels><Relationships xmlns="http://schemas.openxmlformats.org/package/2006/relationships"><Relationship Type="http://schemas.openxmlformats.org/officeDocument/2006/relationships/externalLinkPath" Target="/Projetos/ALESC/04.%20Documentacao/SIGRH/Gerenciamento%20de%20Configura&#231;&#227;o%20e%20Mudan&#231;as/Planilha%20Calculo%20de%20Horas/2022/SIGRH-SC%20-%2015351-2021%20-%20IPREV-%20INTEGRACAO%20COM%20O%20S@T%20VIA%20WS%20-%20PB..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ados do Projeto"/>
      <sheetName val="Dados"/>
      <sheetName val="Transação"/>
      <sheetName val="Apuração Especial"/>
      <sheetName val="#REF"/>
    </sheetNames>
    <sheetDataSet>
      <sheetData sheetId="0" refreshError="1"/>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olicitação"/>
      <sheetName val="Contagem"/>
      <sheetName val="Funções"/>
      <sheetName val="Memoria"/>
      <sheetName val="Sumário"/>
    </sheetNames>
    <sheetDataSet>
      <sheetData sheetId="0">
        <row r="1">
          <cell r="B1" t="str">
            <v>IPREV- INTEGRACAO COM O S@T VIA WS</v>
          </cell>
        </row>
        <row r="4">
          <cell r="B4" t="str">
            <v>15351/2021</v>
          </cell>
        </row>
        <row r="5">
          <cell r="B5">
            <v>44230</v>
          </cell>
        </row>
      </sheetData>
      <sheetData sheetId="1"/>
      <sheetData sheetId="2"/>
      <sheetData sheetId="3"/>
      <sheetData sheetId="4"/>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Planilha1">
    <outlinePr summaryBelow="1" summaryRight="1"/>
    <pageSetUpPr/>
  </sheetPr>
  <dimension ref="A1:H33"/>
  <sheetViews>
    <sheetView showGridLines="0" topLeftCell="A19" zoomScale="175" zoomScaleNormal="175" workbookViewId="0">
      <selection activeCell="E4" sqref="E4"/>
    </sheetView>
  </sheetViews>
  <sheetFormatPr baseColWidth="8" defaultColWidth="8.5" defaultRowHeight="12.75" customHeight="1"/>
  <cols>
    <col width="2.5" customWidth="1" style="73" min="1" max="1"/>
    <col width="16.5" customWidth="1" style="2" min="2" max="2"/>
    <col width="27.625" bestFit="1" customWidth="1" style="2" min="3" max="3"/>
    <col width="6.5" bestFit="1" customWidth="1" style="2" min="4" max="4"/>
    <col width="11.625" customWidth="1" style="2" min="5" max="5"/>
    <col width="14.625" bestFit="1" customWidth="1" style="2" min="6" max="6"/>
    <col width="2.5" customWidth="1" style="73" min="7" max="54"/>
    <col width="8.5" customWidth="1" style="73" min="55" max="16384"/>
  </cols>
  <sheetData>
    <row r="1" ht="15" customHeight="1" s="30"/>
    <row r="2" ht="14.25" customHeight="1" s="30">
      <c r="B2" s="115" t="n"/>
      <c r="C2" s="116" t="inlineStr">
        <is>
          <t>PPF-SYSRH</t>
        </is>
      </c>
      <c r="D2" s="289" t="n"/>
      <c r="E2" s="74" t="inlineStr">
        <is>
          <t>&lt;nº chamado&gt;</t>
        </is>
      </c>
      <c r="F2" s="74" t="inlineStr">
        <is>
          <t>&lt;Informe o ano&gt;</t>
        </is>
      </c>
    </row>
    <row r="3" ht="14.25" customHeight="1" s="30">
      <c r="B3" s="31" t="n"/>
      <c r="C3" s="107" t="inlineStr">
        <is>
          <t>&lt; Informe aqui o título do chamado &gt;</t>
        </is>
      </c>
      <c r="D3" s="73" t="n"/>
    </row>
    <row r="4" ht="14.25" customHeight="1" s="30">
      <c r="B4" s="290" t="n"/>
      <c r="C4" s="46" t="inlineStr">
        <is>
          <t>Planilha de Pontos de Função</t>
        </is>
      </c>
      <c r="D4" s="46" t="n"/>
      <c r="E4" s="46" t="n"/>
      <c r="F4" s="46" t="n"/>
    </row>
    <row r="5" ht="14.25" customHeight="1" s="30">
      <c r="A5" s="73" t="n"/>
      <c r="B5" s="22" t="n"/>
      <c r="C5" s="22" t="n"/>
      <c r="D5" s="22" t="n"/>
      <c r="E5" s="22" t="n"/>
      <c r="F5" s="22" t="n"/>
    </row>
    <row r="6" ht="15.75" customHeight="1" s="30">
      <c r="B6" s="112" t="inlineStr">
        <is>
          <t>Identificação da contagem</t>
        </is>
      </c>
      <c r="C6" s="291" t="n"/>
      <c r="D6" s="291" t="n"/>
      <c r="E6" s="291" t="n"/>
      <c r="F6" s="292" t="n"/>
    </row>
    <row r="7" ht="15.75" customHeight="1" s="30">
      <c r="B7" s="5" t="inlineStr">
        <is>
          <t>Cliente</t>
        </is>
      </c>
      <c r="C7" s="293" t="inlineStr">
        <is>
          <t>SEA/SC - Secretaria de Estado da Administração</t>
        </is>
      </c>
      <c r="D7" s="294" t="n"/>
      <c r="E7" s="294" t="n"/>
      <c r="F7" s="295" t="n"/>
    </row>
    <row r="8" ht="15.75" customHeight="1" s="30">
      <c r="B8" s="6" t="inlineStr">
        <is>
          <t>Módulo</t>
        </is>
      </c>
      <c r="C8" s="121" t="n"/>
      <c r="D8" s="296" t="n"/>
      <c r="E8" s="296" t="n"/>
      <c r="F8" s="297" t="n"/>
    </row>
    <row r="9" ht="15.75" customHeight="1" s="30">
      <c r="B9" s="6" t="inlineStr">
        <is>
          <t>Projeto</t>
        </is>
      </c>
      <c r="C9" s="122" t="inlineStr">
        <is>
          <t>SIGRH - Sistema Integrado de Gestão de Recursos Humanos</t>
        </is>
      </c>
      <c r="D9" s="296" t="n"/>
      <c r="E9" s="296" t="n"/>
      <c r="F9" s="297" t="n"/>
    </row>
    <row r="10" ht="15.75" customHeight="1" s="30">
      <c r="B10" s="6" t="inlineStr">
        <is>
          <t>Tipo de contagem</t>
        </is>
      </c>
      <c r="C10" s="9" t="inlineStr">
        <is>
          <t>Projeto de Melhoria</t>
        </is>
      </c>
      <c r="D10" s="8" t="inlineStr">
        <is>
          <t>Método</t>
        </is>
      </c>
      <c r="E10" s="123" t="inlineStr">
        <is>
          <t>IFPUG</t>
        </is>
      </c>
      <c r="F10" s="298" t="n"/>
    </row>
    <row r="11" ht="15.75" customHeight="1" s="30">
      <c r="B11" s="6" t="inlineStr">
        <is>
          <t>Responsável</t>
        </is>
      </c>
      <c r="C11" s="9" t="n"/>
      <c r="D11" s="8" t="inlineStr">
        <is>
          <t>Criação</t>
        </is>
      </c>
      <c r="E11" s="110" t="n"/>
      <c r="F11" s="298" t="n"/>
    </row>
    <row r="12" ht="15.75" customHeight="1" s="30">
      <c r="B12" s="10" t="inlineStr">
        <is>
          <t>Revisor</t>
        </is>
      </c>
      <c r="C12" s="11" t="n"/>
      <c r="D12" s="12" t="inlineStr">
        <is>
          <t>Revisão</t>
        </is>
      </c>
      <c r="E12" s="110" t="n"/>
      <c r="F12" s="298" t="n"/>
    </row>
    <row r="13" ht="14.25" customHeight="1" s="30">
      <c r="B13" s="111" t="n"/>
      <c r="C13" s="299" t="n"/>
      <c r="D13" s="299" t="n"/>
      <c r="E13" s="299" t="n"/>
      <c r="F13" s="299" t="n"/>
    </row>
    <row r="14" ht="13.5" customHeight="1" s="30">
      <c r="B14" s="112" t="inlineStr">
        <is>
          <t>Sumário</t>
        </is>
      </c>
      <c r="C14" s="291" t="n"/>
      <c r="D14" s="291" t="n"/>
      <c r="E14" s="291" t="n"/>
      <c r="F14" s="292" t="n"/>
    </row>
    <row r="15" ht="13.5" customHeight="1" s="30">
      <c r="B15" s="113" t="inlineStr">
        <is>
          <t>Tipo de manutenção</t>
        </is>
      </c>
      <c r="C15" s="300" t="n"/>
      <c r="D15" s="113" t="inlineStr">
        <is>
          <t>PF</t>
        </is>
      </c>
      <c r="E15" s="113" t="inlineStr">
        <is>
          <t>Deflator</t>
        </is>
      </c>
      <c r="F15" s="113" t="inlineStr">
        <is>
          <t>PF Liquido</t>
        </is>
      </c>
      <c r="G15" s="14" t="n"/>
      <c r="H15" s="14" t="n"/>
    </row>
    <row r="16" ht="13.5" customHeight="1" s="30">
      <c r="B16" s="109" t="inlineStr">
        <is>
          <t>Inclusão (ADD)</t>
        </is>
      </c>
      <c r="C16" s="301" t="n"/>
      <c r="D16" s="15">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c r="E16" s="15" t="n">
        <v>1</v>
      </c>
      <c r="F16" s="16">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row>
    <row r="17" ht="13.5" customHeight="1" s="30">
      <c r="B17" s="109" t="inlineStr">
        <is>
          <t>Alteração (CHG)</t>
        </is>
      </c>
      <c r="C17" s="301" t="n"/>
      <c r="D17" s="15">
        <f>SUMIF(Funções!$E$4:$E$301,"A",Funções!$N$4:$N$301)+
SUMIF(Funções!$E$4:$E$301,"Manutenção Corretiva - 50",Funções!$N$4:$N$301)+
SUMIF(Funções!$E$4:$E$301,"Manutenção Corretiva - 75",Funções!$N$4:$N$301)+
SUMIF(Funções!$E$4:$E$301,"Manutenção Adaptativa - 50",Funções!$N$4:$N$301)+
SUMIF(Funções!$E$4:$E$301,"Manutenção Adaptativa - 75",Funções!$N$4:$N$301)</f>
        <v/>
      </c>
      <c r="E17" s="15" t="n">
        <v>0.5</v>
      </c>
      <c r="F17" s="16">
        <f>SUMIF(Funções!$E$4:$E$301,"A",Funções!$P$4:$P$301)+
SUMIF(Funções!$E$4:$E$301,"Manutenção Corretiva - 50",Funções!$P$4:$P$301)+
SUMIF(Funções!$E$4:$E$301,"Manutenção Corretiva - 75",Funções!$P$4:$P$301)+
SUMIF(Funções!$E$4:$E$301,"Manutenção Adaptativa - 50",Funções!$P$4:$P$301)+
SUMIF(Funções!$E$4:$E$301,"Manutenção Adaptativa - 75",Funções!$P$4:$P$301)</f>
        <v/>
      </c>
    </row>
    <row r="18" ht="13.5" customHeight="1" s="30">
      <c r="B18" s="109" t="inlineStr">
        <is>
          <t>Exclusão (DEL)</t>
        </is>
      </c>
      <c r="C18" s="301" t="n"/>
      <c r="D18" s="15">
        <f>SUMIF(Funções!$E$4:$E$301,"E",Funções!$N$4:$N$301)</f>
        <v/>
      </c>
      <c r="E18" s="15" t="n">
        <v>0.3</v>
      </c>
      <c r="F18" s="16">
        <f>SUMIF(Funções!$E$4:$E$301,"E",Funções!$P$4:$P$301)</f>
        <v/>
      </c>
    </row>
    <row r="19" ht="13.5" customHeight="1" s="30">
      <c r="B19" s="109" t="inlineStr">
        <is>
          <t>Funções de Teste (PFT)</t>
        </is>
      </c>
      <c r="C19" s="301" t="n"/>
      <c r="D19" s="15">
        <f>SUMIF(Funções!$E$4:$E$301,"T",Funções!$N$4:$N$301)</f>
        <v/>
      </c>
      <c r="E19" s="15" t="n">
        <v>0.2</v>
      </c>
      <c r="F19" s="16">
        <f>SUMIF(Funções!$E$4:$E$301,"T",Funções!$P$4:$P$301)</f>
        <v/>
      </c>
    </row>
    <row r="20" ht="13.5" customHeight="1" s="30">
      <c r="B20" s="109" t="inlineStr">
        <is>
          <t>Itens Não Mensuráveis</t>
        </is>
      </c>
      <c r="C20" s="301" t="n"/>
      <c r="D20" s="45">
        <f>SUMIF(Funções!$E$4:$E$301,"Verificação de Erro",Funções!$N$4:$N$301)+
SUMIF(Funções!$E$4:$E$301,"Atualização de Dados",Funções!$N$4:$N$301)+
SUMIF(Funções!$E$4:$E$301,"MP - Banco de Dados",Funções!$N$4:$N$301)+
SUMIF(Funções!$E$4:$E$301,"AV - Linguagem Programação",Funções!$N$4:$N$301)+
SUMIF(Funções!$E$4:$E$301,"AV - Browser",Funções!$N$4:$N$301)+
SUMIF(Funções!$E$4:$E$301,"AV - Banco de Dados",Funções!$N$4:$N$301)+
SUMIF(Funções!$E$4:$E$301,"Apuração Especial - Reexecução",Funções!$N$4:$N$301)+
SUMIF(Funções!$E$4:$E$301,"Manutenção de Documentação",Funções!$N$4:$N$301)+
SUMIF(Funções!$E$4:$E$301,"Ponto de Função de Teste",Funções!$N$4:$N$301)+
SUMIF(Funções!$E$4:$E$301,"Componente Interno - Configuração",Funções!$N$4:$N$301)+
SUMIF(Funções!$E$4:$E$301,"Manutenção Interface",Funções!$N$4:$N$301)+
SUMIF(Funções!$E$4:$E$301,"Paginas Estáticas",Funções!$N$4:$N$301)</f>
        <v/>
      </c>
      <c r="E20" s="45" t="n">
        <v>1</v>
      </c>
      <c r="F20" s="16">
        <f>SUMIF(Funções!$E$4:$E$301,"Verificação de Erro",Funções!$P$4:$P$301)+
SUMIF(Funções!$E$4:$E$301,"Atualização de Dados",Funções!$P$4:$P$301)+
SUMIF(Funções!$E$4:$E$301,"MP - Banco de Dados",Funções!$P$4:$P$301)+
SUMIF(Funções!$E$4:$E$301,"AV - Linguagem Programação",Funções!$P$4:$P$301)+
SUMIF(Funções!$E$4:$E$301,"AV - Browser",Funções!$P$4:$P$301)+
SUMIF(Funções!$E$4:$E$301,"AV - Banco de Dados",Funções!$P$4:$P$301)+
SUMIF(Funções!$E$4:$E$301,"Apuração Especial - Reexecução",Funções!$P$4:$P$301)+
SUMIF(Funções!$E$4:$E$301,"Manutenção de Documentação",Funções!$P$4:$P$301)+
SUMIF(Funções!$E$4:$E$301,"Ponto de Função de Teste",Funções!$P$4:$P$301)+
SUMIF(Funções!$E$4:$E$301,"Componente Interno - Configuração",Funções!$P$4:$P$301)+
SUMIF(Funções!$E$4:$E$301,"Manutenção Interface",Funções!$P$4:$P$301)+
SUMIF(Funções!$E$4:$E$301,"Paginas Estáticas",Funções!$P$4:$P$301)</f>
        <v/>
      </c>
    </row>
    <row r="21" ht="13.5" customHeight="1" s="30">
      <c r="B21" s="108" t="inlineStr">
        <is>
          <t>TOTAL em PF</t>
        </is>
      </c>
      <c r="C21" s="302" t="n"/>
      <c r="D21" s="302" t="n"/>
      <c r="E21" s="303" t="n"/>
      <c r="F21" s="304">
        <f>SUM(F16:F20)</f>
        <v/>
      </c>
    </row>
    <row r="22" ht="13.5" customHeight="1" s="30">
      <c r="B22" s="108" t="inlineStr">
        <is>
          <t>R$/PF</t>
        </is>
      </c>
      <c r="C22" s="302" t="n"/>
      <c r="D22" s="302" t="n"/>
      <c r="E22" s="303" t="n"/>
      <c r="F22" s="305" t="n">
        <v>1245.68</v>
      </c>
    </row>
    <row r="23" ht="13.5" customHeight="1" s="30">
      <c r="B23" s="108" t="inlineStr">
        <is>
          <t>Custo</t>
        </is>
      </c>
      <c r="C23" s="302" t="n"/>
      <c r="D23" s="302" t="n"/>
      <c r="E23" s="303" t="n"/>
      <c r="F23" s="306">
        <f>F21*F22</f>
        <v/>
      </c>
    </row>
    <row r="24" ht="12" customHeight="1" s="30">
      <c r="B24" s="73" t="n"/>
      <c r="C24" s="73" t="n"/>
      <c r="D24" s="73" t="n"/>
      <c r="E24" s="73" t="n"/>
      <c r="F24" s="73" t="n"/>
    </row>
    <row r="25">
      <c r="B25" s="133" t="inlineStr">
        <is>
          <t>SISP 2.3 - Tabela 1: Distribuição de Esforço por Macroatividades do Projeto</t>
        </is>
      </c>
      <c r="C25" s="307" t="n"/>
      <c r="D25" s="307" t="n"/>
      <c r="E25" s="307" t="n"/>
      <c r="F25" s="308" t="n"/>
    </row>
    <row r="26" ht="12.75" customHeight="1" s="30">
      <c r="B26" s="309" t="inlineStr">
        <is>
          <t>Atividade</t>
        </is>
      </c>
      <c r="C26" s="310" t="n"/>
      <c r="D26" s="311" t="n"/>
      <c r="E26" s="79" t="inlineStr">
        <is>
          <t>Referência (%)</t>
        </is>
      </c>
      <c r="F26" s="80" t="inlineStr">
        <is>
          <t>PF Liquido</t>
        </is>
      </c>
    </row>
    <row r="27" ht="12.75" customHeight="1" s="30">
      <c r="B27" s="312" t="inlineStr">
        <is>
          <t>Engenharia de Requisitos</t>
        </is>
      </c>
      <c r="C27" s="313" t="n"/>
      <c r="D27" s="314" t="n"/>
      <c r="E27" s="75" t="n">
        <v>25</v>
      </c>
      <c r="F27" s="76">
        <f>IF(F21&gt;0,F21*E27%,0)</f>
        <v/>
      </c>
    </row>
    <row r="28" ht="12.75" customHeight="1" s="30">
      <c r="B28" s="312" t="inlineStr">
        <is>
          <t xml:space="preserve">Design / Arquitetura </t>
        </is>
      </c>
      <c r="C28" s="313" t="n"/>
      <c r="D28" s="314" t="n"/>
      <c r="E28" s="75" t="n">
        <v>10</v>
      </c>
      <c r="F28" s="76">
        <f>IF(F21&gt;0,F21*E28%,0)</f>
        <v/>
      </c>
    </row>
    <row r="29" ht="12.75" customHeight="1" s="30">
      <c r="B29" s="312" t="inlineStr">
        <is>
          <t xml:space="preserve">Implementação </t>
        </is>
      </c>
      <c r="C29" s="313" t="n"/>
      <c r="D29" s="314" t="n"/>
      <c r="E29" s="75" t="n">
        <v>40</v>
      </c>
      <c r="F29" s="76">
        <f>IF(F21&gt;0,F21*E29%,0)</f>
        <v/>
      </c>
    </row>
    <row r="30" ht="12.75" customHeight="1" s="30">
      <c r="B30" s="312" t="inlineStr">
        <is>
          <t>Testes</t>
        </is>
      </c>
      <c r="C30" s="313" t="n"/>
      <c r="D30" s="314" t="n"/>
      <c r="E30" s="75" t="n">
        <v>15</v>
      </c>
      <c r="F30" s="76">
        <f>IF(F21&gt;0,F21*E30%,0)</f>
        <v/>
      </c>
    </row>
    <row r="31" ht="12.75" customHeight="1" s="30">
      <c r="B31" s="312" t="inlineStr">
        <is>
          <t xml:space="preserve">Homologação </t>
        </is>
      </c>
      <c r="C31" s="313" t="n"/>
      <c r="D31" s="314" t="n"/>
      <c r="E31" s="75" t="n">
        <v>5</v>
      </c>
      <c r="F31" s="76">
        <f>IF(F21&gt;0,F21*E31%,0)</f>
        <v/>
      </c>
    </row>
    <row r="32" ht="12.75" customHeight="1" s="30">
      <c r="B32" s="315" t="inlineStr">
        <is>
          <t>Implantação</t>
        </is>
      </c>
      <c r="C32" s="316" t="n"/>
      <c r="D32" s="317" t="n"/>
      <c r="E32" s="77" t="n">
        <v>5</v>
      </c>
      <c r="F32" s="78">
        <f>IF(F21&gt;0,F21*E32%,0)</f>
        <v/>
      </c>
    </row>
    <row r="33" ht="12.75" customHeight="1" s="30">
      <c r="B33" s="318" t="inlineStr">
        <is>
          <t>Total</t>
        </is>
      </c>
      <c r="C33" s="316" t="n"/>
      <c r="D33" s="317" t="n"/>
      <c r="E33" s="77">
        <f>CONCATENATE(SUM(E27:E32),"%")</f>
        <v/>
      </c>
      <c r="F33" s="84">
        <f>SUM(F27:F32)</f>
        <v/>
      </c>
    </row>
  </sheetData>
  <mergeCells count="29">
    <mergeCell ref="E12:F12"/>
    <mergeCell ref="B16:C16"/>
    <mergeCell ref="C8:F8"/>
    <mergeCell ref="B25:F25"/>
    <mergeCell ref="C7:F7"/>
    <mergeCell ref="B29:D29"/>
    <mergeCell ref="B18:C18"/>
    <mergeCell ref="B28:D28"/>
    <mergeCell ref="E10:F10"/>
    <mergeCell ref="B30:D30"/>
    <mergeCell ref="B14:F14"/>
    <mergeCell ref="B17:C17"/>
    <mergeCell ref="B22:E22"/>
    <mergeCell ref="B13:F13"/>
    <mergeCell ref="B33:D33"/>
    <mergeCell ref="C2:D2"/>
    <mergeCell ref="B19:C19"/>
    <mergeCell ref="B32:D32"/>
    <mergeCell ref="E11:F11"/>
    <mergeCell ref="B21:E21"/>
    <mergeCell ref="B26:D26"/>
    <mergeCell ref="B2:B4"/>
    <mergeCell ref="C9:F9"/>
    <mergeCell ref="B23:E23"/>
    <mergeCell ref="B6:F6"/>
    <mergeCell ref="B15:C15"/>
    <mergeCell ref="B31:D31"/>
    <mergeCell ref="B20:C20"/>
    <mergeCell ref="B27:D27"/>
  </mergeCells>
  <dataValidations count="2">
    <dataValidation sqref="C10" showDropDown="0" showInputMessage="0" showErrorMessage="1" allowBlank="1" type="list">
      <formula1>"Aplicação,Projeto de Desenvolvimento,Projeto de Melhoria"</formula1>
      <formula2>0</formula2>
    </dataValidation>
    <dataValidation sqref="E10" showDropDown="0" showInputMessage="0" showErrorMessage="1" allowBlank="1" type="list">
      <formula1>"NESMA Estimativa,IFPUG"</formula1>
      <formula2>0</formula2>
    </dataValidation>
  </dataValidations>
  <pageMargins left="0.7875" right="0.7875" top="1.052083333333333" bottom="0.9715277777777778" header="0.5118055555555555" footer="0.5118055555555555"/>
  <pageSetup orientation="portrait" scale="99" firstPageNumber="0" pageOrder="overThenDown" horizontalDpi="300" verticalDpi="300"/>
  <headerFooter alignWithMargins="0">
    <oddHeader/>
    <oddFooter>&amp;R&amp;"Tahoma1,Regular"&amp;8 &amp;F - &amp;A</oddFooter>
    <evenHeader/>
    <evenFooter/>
    <firstHeader/>
    <firstFooter/>
  </headerFooter>
</worksheet>
</file>

<file path=xl/worksheets/sheet2.xml><?xml version="1.0" encoding="utf-8"?>
<worksheet xmlns="http://schemas.openxmlformats.org/spreadsheetml/2006/main">
  <sheetPr codeName="Planilha2">
    <outlinePr summaryBelow="1" summaryRight="1"/>
    <pageSetUpPr/>
  </sheetPr>
  <dimension ref="A1:T216"/>
  <sheetViews>
    <sheetView showGridLines="0" tabSelected="1" zoomScale="110" zoomScaleNormal="110" workbookViewId="0">
      <selection activeCell="N4" sqref="N4"/>
    </sheetView>
  </sheetViews>
  <sheetFormatPr baseColWidth="8" defaultRowHeight="15" customHeight="1"/>
  <cols>
    <col width="2.5" customWidth="1" style="30" min="1" max="1"/>
    <col width="10.75" bestFit="1" customWidth="1" style="30" min="2" max="2"/>
    <col width="8.875" bestFit="1" customWidth="1" style="30" min="3" max="3"/>
    <col width="7.875" customWidth="1" style="30" min="4" max="4"/>
    <col width="9.125" bestFit="1" customWidth="1" style="30" min="5" max="5"/>
    <col width="6.375" bestFit="1" customWidth="1" style="30" min="6" max="6"/>
    <col width="10.375" bestFit="1" customWidth="1" style="30" min="7" max="7"/>
    <col width="8.75" bestFit="1" customWidth="1" style="30" min="8" max="8"/>
    <col width="12.75" bestFit="1" customWidth="1" style="30" min="9" max="9"/>
    <col width="7.75" bestFit="1" customWidth="1" style="30" min="10" max="10"/>
    <col hidden="1" width="2.625" customWidth="1" style="30" min="11" max="11"/>
    <col hidden="1" width="1.875" customWidth="1" style="30" min="12" max="12"/>
    <col width="7.875" bestFit="1" customWidth="1" style="30" min="13" max="13"/>
    <col width="7.375" bestFit="1" customWidth="1" style="30" min="14" max="14"/>
    <col width="6.875" bestFit="1" customWidth="1" style="30" min="15" max="15"/>
    <col width="12.375" customWidth="1" style="30" min="16" max="16"/>
    <col width="12.75" bestFit="1" customWidth="1" style="30" min="17" max="17"/>
    <col hidden="1" width="6.375" customWidth="1" style="30" min="19" max="19"/>
    <col hidden="1" width="11.5" customWidth="1" style="30" min="20" max="20"/>
  </cols>
  <sheetData>
    <row r="1" ht="14.25" customHeight="1" s="30"/>
    <row r="2" ht="14.25" customHeight="1" s="30"/>
    <row r="3" ht="14.25" customHeight="1" s="30">
      <c r="B3" s="106" t="inlineStr">
        <is>
          <t>Casos de Uso</t>
        </is>
      </c>
      <c r="C3" s="56" t="inlineStr">
        <is>
          <t xml:space="preserve">   Função   </t>
        </is>
      </c>
      <c r="D3" s="56" t="inlineStr">
        <is>
          <t>Tipo</t>
        </is>
      </c>
      <c r="E3" s="56" t="inlineStr">
        <is>
          <t xml:space="preserve">   (I/A/E/T)   </t>
        </is>
      </c>
      <c r="F3" s="56" t="inlineStr">
        <is>
          <t>QTD TD</t>
        </is>
      </c>
      <c r="G3" s="56" t="inlineStr">
        <is>
          <t>Descrição TD</t>
        </is>
      </c>
      <c r="H3" s="56" t="inlineStr">
        <is>
          <t>QTD AR/TR</t>
        </is>
      </c>
      <c r="I3" s="56" t="inlineStr">
        <is>
          <t>Descrição AR/TR</t>
        </is>
      </c>
      <c r="J3" s="56" t="inlineStr">
        <is>
          <t xml:space="preserve"> QTD INM</t>
        </is>
      </c>
      <c r="K3" s="17" t="inlineStr">
        <is>
          <t>ctl</t>
        </is>
      </c>
      <c r="L3" s="17" t="inlineStr">
        <is>
          <t>C</t>
        </is>
      </c>
      <c r="M3" s="17" t="inlineStr">
        <is>
          <t>Complex.</t>
        </is>
      </c>
      <c r="N3" s="17" t="inlineStr">
        <is>
          <t>PF Bruto</t>
        </is>
      </c>
      <c r="O3" s="17" t="inlineStr">
        <is>
          <t>Deflator</t>
        </is>
      </c>
      <c r="P3" s="17" t="inlineStr">
        <is>
          <t>PF com Deflator</t>
        </is>
      </c>
      <c r="Q3" s="56" t="inlineStr">
        <is>
          <t xml:space="preserve">   Observações   </t>
        </is>
      </c>
      <c r="S3" s="69" t="inlineStr">
        <is>
          <t>BAIXA</t>
        </is>
      </c>
      <c r="T3" s="69" t="inlineStr">
        <is>
          <t>MEDIA/ALTA</t>
        </is>
      </c>
    </row>
    <row r="4" ht="14.25" customHeight="1" s="30">
      <c r="A4" t="inlineStr">
        <is>
          <t>Refatoração de código legado para otimizar a query de banco de dados utilizada na geração da folha de pagamento, visando reduzir o tempo de processamento.</t>
        </is>
      </c>
      <c r="B4" s="104" t="inlineStr">
        <is>
          <t>Otimização de Query para Geração da Folha</t>
        </is>
      </c>
      <c r="C4" s="103" t="inlineStr">
        <is>
          <t>NAO_MENSURAVEL</t>
        </is>
      </c>
      <c r="D4" s="19" t="inlineStr">
        <is>
          <t>I</t>
        </is>
      </c>
      <c r="E4" s="57" t="n">
        <v>0</v>
      </c>
      <c r="F4" s="57" t="n">
        <v>0</v>
      </c>
      <c r="G4" s="57" t="inlineStr"/>
      <c r="H4" s="57" t="n">
        <v>0</v>
      </c>
      <c r="I4" s="57" t="n">
        <v>0</v>
      </c>
      <c r="J4" s="57" t="inlineStr">
        <is>
          <t>A atividade envolve apenas a otimização de uma query existente, sem alteração de funcionalidades ou dados visíveis ao usuário final. Portanto, é classificada como NAO_MENSURAVEL.</t>
        </is>
      </c>
      <c r="K4" s="57">
        <f>CONCATENATE(D4,L4)</f>
        <v/>
      </c>
      <c r="L4" s="57">
        <f>IF(OR(ISBLANK(F4),ISBLANK(H4)),IF(OR(D4="ALI",D4="AIE"),"L",IF(ISBLANK(D4),"","A")),IF(D4="EE",IF(H4&gt;=3,IF(F4&gt;=5,"H","A"),IF(H4&gt;=2,IF(F4&gt;=16,"H",IF(F4&lt;=4,"L","A")),IF(F4&lt;=15,"L","A"))),IF(OR(D4="SE",D4="CE"),IF(H4&gt;=4,IF(F4&gt;=6,"H","A"),IF(H4&gt;=2,IF(F4&gt;=20,"H",IF(F4&lt;=5,"L","A")),IF(F4&lt;=19,"L","A"))),IF(OR(D4="ALI",D4="AIE"),IF(H4&gt;=6,IF(F4&gt;=20,"H","A"),IF(H4&gt;=2,IF(F4&gt;=51,"H",IF(F4&lt;=19,"L","A")),IF(F4&lt;=50,"L","A")))))))</f>
        <v/>
      </c>
      <c r="M4" s="58">
        <f>IF(L4="L","Baixa",IF(L4="A","Média",IF(L4="","","Alta")))</f>
        <v/>
      </c>
      <c r="N4" s="59">
        <f>IF(ISBLANK(D4),"",IF(D4="ALI",IF(L4="L",7,IF(L4="A",10,15)),IF(D4="AIE",IF(L4="L",5,IF(L4="A",7,10)),IF(D4="SE",IF(L4="L",4,IF(L4="A",5,7)),IF(OR(D4="EE",D4="CE"),IF(L4="L",3,IF(L4="A",4,6)))))))</f>
        <v/>
      </c>
      <c r="O4" s="59">
        <f>IF(E4&lt;&gt;"",VLOOKUP(E4,$P180:$Q211,2,FALSE),"-")</f>
        <v/>
      </c>
      <c r="P4" s="50">
        <f>IF(AND(OR(E4="Manutenção Interface",E4="Paginas Estáticas"),J4&lt;&gt;"."),J4*O4,
IF(OR(D4="",E4=""),"",
N4*O4))</f>
        <v/>
      </c>
      <c r="Q4" s="60" t="n"/>
      <c r="S4" s="69">
        <f>IF(OR(M4="Baixa",E4="Manutenção Interface",E4="Paginas Estáticas"),1,0)</f>
        <v/>
      </c>
      <c r="T4" s="69">
        <f>IF(OR(M4="Média",M4="Alta"),1,0)</f>
        <v/>
      </c>
    </row>
    <row r="5" ht="14.25" customHeight="1" s="30">
      <c r="B5" s="105" t="n"/>
      <c r="C5" s="101" t="n"/>
      <c r="D5" s="19" t="n"/>
      <c r="E5" s="57" t="n"/>
      <c r="F5" s="57" t="n"/>
      <c r="G5" s="57" t="n"/>
      <c r="H5" s="57" t="n"/>
      <c r="I5" s="57" t="n"/>
      <c r="J5" s="57" t="n"/>
      <c r="K5" s="57">
        <f>CONCATENATE(D5,L5)</f>
        <v/>
      </c>
      <c r="L5" s="57">
        <f>IF(OR(ISBLANK(F5),ISBLANK(H5)),IF(OR(D5="ALI",D5="AIE"),"L",IF(ISBLANK(D5),"","A")),IF(D5="EE",IF(H5&gt;=3,IF(F5&gt;=5,"H","A"),IF(H5&gt;=2,IF(F5&gt;=16,"H",IF(F5&lt;=4,"L","A")),IF(F5&lt;=15,"L","A"))),IF(OR(D5="SE",D5="CE"),IF(H5&gt;=4,IF(F5&gt;=6,"H","A"),IF(H5&gt;=2,IF(F5&gt;=20,"H",IF(F5&lt;=5,"L","A")),IF(F5&lt;=19,"L","A"))),IF(OR(D5="ALI",D5="AIE"),IF(H5&gt;=6,IF(F5&gt;=20,"H","A"),IF(H5&gt;=2,IF(F5&gt;=51,"H",IF(F5&lt;=19,"L","A")),IF(F5&lt;=50,"L","A")))))))</f>
        <v/>
      </c>
      <c r="M5" s="58">
        <f>IF(L5="L","Baixa",IF(L5="A","Média",IF(L5="","","Alta")))</f>
        <v/>
      </c>
      <c r="N5" s="59">
        <f>IF(ISBLANK(D5),"",IF(D5="ALI",IF(L5="L",7,IF(L5="A",10,15)),IF(D5="AIE",IF(L5="L",5,IF(L5="A",7,10)),IF(D5="SE",IF(L5="L",4,IF(L5="A",5,7)),IF(OR(D5="EE",D5="CE"),IF(L5="L",3,IF(L5="A",4,6)))))))</f>
        <v/>
      </c>
      <c r="O5" s="59">
        <f>IF(E5&lt;&gt;"",VLOOKUP(E5,$P180:$Q211,2,FALSE),"-")</f>
        <v/>
      </c>
      <c r="P5" s="50">
        <f>IF(OR(E5="Manutenção Interface",E5="Paginas Estáticas"),J5*O5,
IF(OR(D5="",E5=""),"",
N5*O5))</f>
        <v/>
      </c>
      <c r="Q5" s="61" t="n"/>
      <c r="S5" s="69">
        <f>IF(OR(M5="Baixa",E5="Manutenção Interface",E5="Paginas Estáticas"),1,0)</f>
        <v/>
      </c>
      <c r="T5" s="69">
        <f>IF(OR(M5="Média",M5="Alta"),1,0)</f>
        <v/>
      </c>
    </row>
    <row r="6" ht="16.5" customHeight="1" s="30">
      <c r="B6" s="105" t="n"/>
      <c r="C6" s="101" t="n"/>
      <c r="D6" s="19" t="n"/>
      <c r="E6" s="57" t="n"/>
      <c r="F6" s="57" t="n"/>
      <c r="G6" s="57" t="n"/>
      <c r="H6" s="57" t="n"/>
      <c r="I6" s="57" t="n"/>
      <c r="J6" s="57" t="n"/>
      <c r="K6" s="57">
        <f>CONCATENATE(D6,L6)</f>
        <v/>
      </c>
      <c r="L6" s="57">
        <f>IF(OR(ISBLANK(F6),ISBLANK(H6)),IF(OR(D6="ALI",D6="AIE"),"L",IF(ISBLANK(D6),"","A")),IF(D6="EE",IF(H6&gt;=3,IF(F6&gt;=5,"H","A"),IF(H6&gt;=2,IF(F6&gt;=16,"H",IF(F6&lt;=4,"L","A")),IF(F6&lt;=15,"L","A"))),IF(OR(D6="SE",D6="CE"),IF(H6&gt;=4,IF(F6&gt;=6,"H","A"),IF(H6&gt;=2,IF(F6&gt;=20,"H",IF(F6&lt;=5,"L","A")),IF(F6&lt;=19,"L","A"))),IF(OR(D6="ALI",D6="AIE"),IF(H6&gt;=6,IF(F6&gt;=20,"H","A"),IF(H6&gt;=2,IF(F6&gt;=51,"H",IF(F6&lt;=19,"L","A")),IF(F6&lt;=50,"L","A")))))))</f>
        <v/>
      </c>
      <c r="M6" s="58">
        <f>IF(L6="L","Baixa",IF(L6="A","Média",IF(L6="","","Alta")))</f>
        <v/>
      </c>
      <c r="N6" s="59">
        <f>IF(ISBLANK(D6),"",IF(D6="ALI",IF(L6="L",7,IF(L6="A",10,15)),IF(D6="AIE",IF(L6="L",5,IF(L6="A",7,10)),IF(D6="SE",IF(L6="L",4,IF(L6="A",5,7)),IF(OR(D6="EE",D6="CE"),IF(L6="L",3,IF(L6="A",4,6)))))))</f>
        <v/>
      </c>
      <c r="O6" s="59">
        <f>IF(E6&lt;&gt;"",VLOOKUP(E6,$P180:$Q211,2,FALSE),"-")</f>
        <v/>
      </c>
      <c r="P6" s="50">
        <f>IF(OR(E6="Manutenção Interface",E6="Paginas Estáticas"),J6*O6,
IF(OR(D6="",E6=""),"",
N6*O6))</f>
        <v/>
      </c>
      <c r="Q6" s="61" t="n"/>
      <c r="S6" s="69">
        <f>IF(OR(M6="Baixa",E6="Manutenção Interface",E6="Paginas Estáticas"),1,0)</f>
        <v/>
      </c>
      <c r="T6" s="69">
        <f>IF(OR(M6="Média",M6="Alta"),1,0)</f>
        <v/>
      </c>
    </row>
    <row r="7" ht="16.5" customHeight="1" s="30">
      <c r="B7" s="105" t="n"/>
      <c r="C7" s="101" t="n"/>
      <c r="D7" s="19" t="n"/>
      <c r="E7" s="57" t="n"/>
      <c r="F7" s="57" t="n"/>
      <c r="G7" s="57" t="n"/>
      <c r="H7" s="57" t="n"/>
      <c r="I7" s="57" t="n"/>
      <c r="J7" s="57" t="n"/>
      <c r="K7" s="57">
        <f>CONCATENATE(D7,L7)</f>
        <v/>
      </c>
      <c r="L7" s="57">
        <f>IF(OR(ISBLANK(F7),ISBLANK(H7)),IF(OR(D7="ALI",D7="AIE"),"L",IF(ISBLANK(D7),"","A")),IF(D7="EE",IF(H7&gt;=3,IF(F7&gt;=5,"H","A"),IF(H7&gt;=2,IF(F7&gt;=16,"H",IF(F7&lt;=4,"L","A")),IF(F7&lt;=15,"L","A"))),IF(OR(D7="SE",D7="CE"),IF(H7&gt;=4,IF(F7&gt;=6,"H","A"),IF(H7&gt;=2,IF(F7&gt;=20,"H",IF(F7&lt;=5,"L","A")),IF(F7&lt;=19,"L","A"))),IF(OR(D7="ALI",D7="AIE"),IF(H7&gt;=6,IF(F7&gt;=20,"H","A"),IF(H7&gt;=2,IF(F7&gt;=51,"H",IF(F7&lt;=19,"L","A")),IF(F7&lt;=50,"L","A")))))))</f>
        <v/>
      </c>
      <c r="M7" s="58">
        <f>IF(L7="L","Baixa",IF(L7="A","Média",IF(L7="","","Alta")))</f>
        <v/>
      </c>
      <c r="N7" s="59">
        <f>IF(ISBLANK(D7),"",IF(D7="ALI",IF(L7="L",7,IF(L7="A",10,15)),IF(D7="AIE",IF(L7="L",5,IF(L7="A",7,10)),IF(D7="SE",IF(L7="L",4,IF(L7="A",5,7)),IF(OR(D7="EE",D7="CE"),IF(L7="L",3,IF(L7="A",4,6)))))))</f>
        <v/>
      </c>
      <c r="O7" s="59">
        <f>IF(E7&lt;&gt;"",VLOOKUP(E7,$P180:$Q211,2,FALSE),"-")</f>
        <v/>
      </c>
      <c r="P7" s="50">
        <f>IF(OR(E7="Manutenção Interface",E7="Paginas Estáticas"),J7*O7,
IF(OR(D7="",E7=""),"",
N7*O7))</f>
        <v/>
      </c>
      <c r="Q7" s="61" t="n"/>
      <c r="S7" s="69">
        <f>IF(OR(M7="Baixa",E7="Manutenção Interface",E7="Paginas Estáticas"),1,0)</f>
        <v/>
      </c>
      <c r="T7" s="69">
        <f>IF(OR(M7="Média",M7="Alta"),1,0)</f>
        <v/>
      </c>
    </row>
    <row r="8" ht="16.5" customHeight="1" s="30">
      <c r="B8" s="105" t="n"/>
      <c r="C8" s="101" t="n"/>
      <c r="D8" s="19" t="n"/>
      <c r="E8" s="57" t="n"/>
      <c r="F8" s="57" t="n"/>
      <c r="G8" s="57" t="n"/>
      <c r="H8" s="57" t="n"/>
      <c r="I8" s="57" t="n"/>
      <c r="J8" s="57" t="n"/>
      <c r="K8" s="57">
        <f>CONCATENATE(D8,L8)</f>
        <v/>
      </c>
      <c r="L8" s="57">
        <f>IF(OR(ISBLANK(F8),ISBLANK(H8)),IF(OR(D8="ALI",D8="AIE"),"L",IF(ISBLANK(D8),"","A")),IF(D8="EE",IF(H8&gt;=3,IF(F8&gt;=5,"H","A"),IF(H8&gt;=2,IF(F8&gt;=16,"H",IF(F8&lt;=4,"L","A")),IF(F8&lt;=15,"L","A"))),IF(OR(D8="SE",D8="CE"),IF(H8&gt;=4,IF(F8&gt;=6,"H","A"),IF(H8&gt;=2,IF(F8&gt;=20,"H",IF(F8&lt;=5,"L","A")),IF(F8&lt;=19,"L","A"))),IF(OR(D8="ALI",D8="AIE"),IF(H8&gt;=6,IF(F8&gt;=20,"H","A"),IF(H8&gt;=2,IF(F8&gt;=51,"H",IF(F8&lt;=19,"L","A")),IF(F8&lt;=50,"L","A")))))))</f>
        <v/>
      </c>
      <c r="M8" s="58">
        <f>IF(L8="L","Baixa",IF(L8="A","Média",IF(L8="","","Alta")))</f>
        <v/>
      </c>
      <c r="N8" s="59">
        <f>IF(ISBLANK(D8),"",IF(D8="ALI",IF(L8="L",7,IF(L8="A",10,15)),IF(D8="AIE",IF(L8="L",5,IF(L8="A",7,10)),IF(D8="SE",IF(L8="L",4,IF(L8="A",5,7)),IF(OR(D8="EE",D8="CE"),IF(L8="L",3,IF(L8="A",4,6)))))))</f>
        <v/>
      </c>
      <c r="O8" s="59">
        <f>IF(E8&lt;&gt;"",VLOOKUP(E8,$P180:$Q211,2,FALSE),"-")</f>
        <v/>
      </c>
      <c r="P8" s="50">
        <f>IF(OR(E8="Manutenção Interface",E8="Paginas Estáticas"),J8*O8,
IF(OR(D8="",E8=""),"",
N8*O8))</f>
        <v/>
      </c>
      <c r="Q8" s="61" t="n"/>
      <c r="S8" s="69">
        <f>IF(OR(M8="Baixa",E8="Manutenção Interface",E8="Paginas Estáticas"),1,0)</f>
        <v/>
      </c>
      <c r="T8" s="69">
        <f>IF(OR(M8="Média",M8="Alta"),1,0)</f>
        <v/>
      </c>
    </row>
    <row r="9" ht="16.5" customHeight="1" s="30">
      <c r="B9" s="105" t="n"/>
      <c r="C9" s="101" t="n"/>
      <c r="D9" s="19" t="n"/>
      <c r="E9" s="57" t="n"/>
      <c r="F9" s="57" t="n"/>
      <c r="G9" s="57" t="n"/>
      <c r="H9" s="57" t="n"/>
      <c r="I9" s="57" t="n"/>
      <c r="J9" s="57" t="n"/>
      <c r="K9" s="57">
        <f>CONCATENATE(D9,L9)</f>
        <v/>
      </c>
      <c r="L9" s="57">
        <f>IF(OR(ISBLANK(F9),ISBLANK(H9)),IF(OR(D9="ALI",D9="AIE"),"L",IF(ISBLANK(D9),"","A")),IF(D9="EE",IF(H9&gt;=3,IF(F9&gt;=5,"H","A"),IF(H9&gt;=2,IF(F9&gt;=16,"H",IF(F9&lt;=4,"L","A")),IF(F9&lt;=15,"L","A"))),IF(OR(D9="SE",D9="CE"),IF(H9&gt;=4,IF(F9&gt;=6,"H","A"),IF(H9&gt;=2,IF(F9&gt;=20,"H",IF(F9&lt;=5,"L","A")),IF(F9&lt;=19,"L","A"))),IF(OR(D9="ALI",D9="AIE"),IF(H9&gt;=6,IF(F9&gt;=20,"H","A"),IF(H9&gt;=2,IF(F9&gt;=51,"H",IF(F9&lt;=19,"L","A")),IF(F9&lt;=50,"L","A")))))))</f>
        <v/>
      </c>
      <c r="M9" s="58">
        <f>IF(L9="L","Baixa",IF(L9="A","Média",IF(L9="","","Alta")))</f>
        <v/>
      </c>
      <c r="N9" s="59">
        <f>IF(ISBLANK(D9),"",IF(D9="ALI",IF(L9="L",7,IF(L9="A",10,15)),IF(D9="AIE",IF(L9="L",5,IF(L9="A",7,10)),IF(D9="SE",IF(L9="L",4,IF(L9="A",5,7)),IF(OR(D9="EE",D9="CE"),IF(L9="L",3,IF(L9="A",4,6)))))))</f>
        <v/>
      </c>
      <c r="O9" s="59">
        <f>IF(E9&lt;&gt;"",VLOOKUP(E9,$P180:$Q211,2,FALSE),"-")</f>
        <v/>
      </c>
      <c r="P9" s="50">
        <f>IF(OR(E9="Manutenção Interface",E9="Paginas Estáticas"),J9*O9,
IF(OR(D9="",E9=""),"",
N9*O9))</f>
        <v/>
      </c>
      <c r="Q9" s="61" t="n"/>
      <c r="S9" s="69">
        <f>IF(OR(M9="Baixa",E9="Manutenção Interface",E9="Paginas Estáticas"),1,0)</f>
        <v/>
      </c>
      <c r="T9" s="69">
        <f>IF(OR(M9="Média",M9="Alta"),1,0)</f>
        <v/>
      </c>
    </row>
    <row r="10" ht="16.5" customHeight="1" s="30">
      <c r="B10" s="105" t="n"/>
      <c r="C10" s="101" t="n"/>
      <c r="D10" s="19" t="n"/>
      <c r="E10" s="57" t="n"/>
      <c r="F10" s="57" t="n"/>
      <c r="G10" s="57" t="n"/>
      <c r="H10" s="57" t="n"/>
      <c r="I10" s="57" t="n"/>
      <c r="J10" s="57" t="n"/>
      <c r="K10" s="57">
        <f>CONCATENATE(D10,L10)</f>
        <v/>
      </c>
      <c r="L10" s="57">
        <f>IF(OR(ISBLANK(F10),ISBLANK(H10)),IF(OR(D10="ALI",D10="AIE"),"L",IF(ISBLANK(D10),"","A")),IF(D10="EE",IF(H10&gt;=3,IF(F10&gt;=5,"H","A"),IF(H10&gt;=2,IF(F10&gt;=16,"H",IF(F10&lt;=4,"L","A")),IF(F10&lt;=15,"L","A"))),IF(OR(D10="SE",D10="CE"),IF(H10&gt;=4,IF(F10&gt;=6,"H","A"),IF(H10&gt;=2,IF(F10&gt;=20,"H",IF(F10&lt;=5,"L","A")),IF(F10&lt;=19,"L","A"))),IF(OR(D10="ALI",D10="AIE"),IF(H10&gt;=6,IF(F10&gt;=20,"H","A"),IF(H10&gt;=2,IF(F10&gt;=51,"H",IF(F10&lt;=19,"L","A")),IF(F10&lt;=50,"L","A")))))))</f>
        <v/>
      </c>
      <c r="M10" s="58">
        <f>IF(L10="L","Baixa",IF(L10="A","Média",IF(L10="","","Alta")))</f>
        <v/>
      </c>
      <c r="N10" s="59">
        <f>IF(ISBLANK(D10),"",IF(D10="ALI",IF(L10="L",7,IF(L10="A",10,15)),IF(D10="AIE",IF(L10="L",5,IF(L10="A",7,10)),IF(D10="SE",IF(L10="L",4,IF(L10="A",5,7)),IF(OR(D10="EE",D10="CE"),IF(L10="L",3,IF(L10="A",4,6)))))))</f>
        <v/>
      </c>
      <c r="O10" s="59">
        <f>IF(E10&lt;&gt;"",VLOOKUP(E10,$P180:$Q211,2,FALSE),"-")</f>
        <v/>
      </c>
      <c r="P10" s="50">
        <f>IF(OR(E10="Manutenção Interface",E10="Paginas Estáticas"),J10*O10,
IF(OR(D10="",E10=""),"",
N10*O10))</f>
        <v/>
      </c>
      <c r="Q10" s="62" t="n"/>
      <c r="S10" s="69">
        <f>IF(OR(M10="Baixa",E10="Manutenção Interface",E10="Paginas Estáticas"),1,0)</f>
        <v/>
      </c>
      <c r="T10" s="69">
        <f>IF(OR(M10="Média",M10="Alta"),1,0)</f>
        <v/>
      </c>
    </row>
    <row r="11" ht="16.5" customHeight="1" s="30">
      <c r="B11" s="105" t="n"/>
      <c r="C11" s="101" t="n"/>
      <c r="D11" s="19" t="n"/>
      <c r="E11" s="57" t="n"/>
      <c r="F11" s="57" t="n"/>
      <c r="G11" s="57" t="n"/>
      <c r="H11" s="57" t="n"/>
      <c r="I11" s="57" t="n"/>
      <c r="J11" s="57" t="n"/>
      <c r="K11" s="57">
        <f>CONCATENATE(D11,L11)</f>
        <v/>
      </c>
      <c r="L11" s="57">
        <f>IF(OR(ISBLANK(F11),ISBLANK(H11)),IF(OR(D11="ALI",D11="AIE"),"L",IF(ISBLANK(D11),"","A")),IF(D11="EE",IF(H11&gt;=3,IF(F11&gt;=5,"H","A"),IF(H11&gt;=2,IF(F11&gt;=16,"H",IF(F11&lt;=4,"L","A")),IF(F11&lt;=15,"L","A"))),IF(OR(D11="SE",D11="CE"),IF(H11&gt;=4,IF(F11&gt;=6,"H","A"),IF(H11&gt;=2,IF(F11&gt;=20,"H",IF(F11&lt;=5,"L","A")),IF(F11&lt;=19,"L","A"))),IF(OR(D11="ALI",D11="AIE"),IF(H11&gt;=6,IF(F11&gt;=20,"H","A"),IF(H11&gt;=2,IF(F11&gt;=51,"H",IF(F11&lt;=19,"L","A")),IF(F11&lt;=50,"L","A")))))))</f>
        <v/>
      </c>
      <c r="M11" s="58">
        <f>IF(L11="L","Baixa",IF(L11="A","Média",IF(L11="","","Alta")))</f>
        <v/>
      </c>
      <c r="N11" s="59">
        <f>IF(ISBLANK(D11),"",IF(D11="ALI",IF(L11="L",7,IF(L11="A",10,15)),IF(D11="AIE",IF(L11="L",5,IF(L11="A",7,10)),IF(D11="SE",IF(L11="L",4,IF(L11="A",5,7)),IF(OR(D11="EE",D11="CE"),IF(L11="L",3,IF(L11="A",4,6)))))))</f>
        <v/>
      </c>
      <c r="O11" s="59">
        <f>IF(E11&lt;&gt;"",VLOOKUP(E11,$P180:$Q211,2,FALSE),"-")</f>
        <v/>
      </c>
      <c r="P11" s="50">
        <f>IF(OR(E11="Manutenção Interface",E11="Paginas Estáticas"),J11*O11,
IF(OR(D11="",E11=""),"",
N11*O11))</f>
        <v/>
      </c>
      <c r="Q11" s="61" t="n"/>
      <c r="S11" s="69">
        <f>IF(OR(M11="Baixa",E11="Manutenção Interface",E11="Paginas Estáticas"),1,0)</f>
        <v/>
      </c>
      <c r="T11" s="69">
        <f>IF(OR(M11="Média",M11="Alta"),1,0)</f>
        <v/>
      </c>
    </row>
    <row r="12" ht="16.5" customHeight="1" s="30">
      <c r="B12" s="105" t="n"/>
      <c r="C12" s="101" t="n"/>
      <c r="D12" s="19" t="n"/>
      <c r="E12" s="57" t="n"/>
      <c r="F12" s="57" t="n"/>
      <c r="G12" s="57" t="n"/>
      <c r="H12" s="57" t="n"/>
      <c r="I12" s="57" t="n"/>
      <c r="J12" s="57" t="n"/>
      <c r="K12" s="57">
        <f>CONCATENATE(D12,L12)</f>
        <v/>
      </c>
      <c r="L12" s="57">
        <f>IF(OR(ISBLANK(F12),ISBLANK(H12)),IF(OR(D12="ALI",D12="AIE"),"L",IF(ISBLANK(D12),"","A")),IF(D12="EE",IF(H12&gt;=3,IF(F12&gt;=5,"H","A"),IF(H12&gt;=2,IF(F12&gt;=16,"H",IF(F12&lt;=4,"L","A")),IF(F12&lt;=15,"L","A"))),IF(OR(D12="SE",D12="CE"),IF(H12&gt;=4,IF(F12&gt;=6,"H","A"),IF(H12&gt;=2,IF(F12&gt;=20,"H",IF(F12&lt;=5,"L","A")),IF(F12&lt;=19,"L","A"))),IF(OR(D12="ALI",D12="AIE"),IF(H12&gt;=6,IF(F12&gt;=20,"H","A"),IF(H12&gt;=2,IF(F12&gt;=51,"H",IF(F12&lt;=19,"L","A")),IF(F12&lt;=50,"L","A")))))))</f>
        <v/>
      </c>
      <c r="M12" s="58">
        <f>IF(L12="L","Baixa",IF(L12="A","Média",IF(L12="","","Alta")))</f>
        <v/>
      </c>
      <c r="N12" s="59">
        <f>IF(ISBLANK(D12),"",IF(D12="ALI",IF(L12="L",7,IF(L12="A",10,15)),IF(D12="AIE",IF(L12="L",5,IF(L12="A",7,10)),IF(D12="SE",IF(L12="L",4,IF(L12="A",5,7)),IF(OR(D12="EE",D12="CE"),IF(L12="L",3,IF(L12="A",4,6)))))))</f>
        <v/>
      </c>
      <c r="O12" s="59">
        <f>IF(E12&lt;&gt;"",VLOOKUP(E12,$P180:$Q211,2,FALSE),"-")</f>
        <v/>
      </c>
      <c r="P12" s="50">
        <f>IF(OR(E12="Manutenção Interface",E12="Paginas Estáticas"),J12*O12,
IF(OR(D12="",E12=""),"",
N12*O12))</f>
        <v/>
      </c>
      <c r="Q12" s="50" t="n"/>
      <c r="S12" s="69">
        <f>IF(OR(M12="Baixa",E12="Manutenção Interface",E12="Paginas Estáticas"),1,0)</f>
        <v/>
      </c>
      <c r="T12" s="69">
        <f>IF(OR(M12="Média",M12="Alta"),1,0)</f>
        <v/>
      </c>
    </row>
    <row r="13" ht="16.5" customHeight="1" s="30">
      <c r="B13" s="105" t="n"/>
      <c r="C13" s="101" t="n"/>
      <c r="D13" s="19" t="n"/>
      <c r="E13" s="57" t="n"/>
      <c r="F13" s="57" t="n"/>
      <c r="G13" s="57" t="n"/>
      <c r="H13" s="57" t="n"/>
      <c r="I13" s="57" t="n"/>
      <c r="J13" s="57" t="n"/>
      <c r="K13" s="57">
        <f>CONCATENATE(D13,L13)</f>
        <v/>
      </c>
      <c r="L13" s="57">
        <f>IF(OR(ISBLANK(F13),ISBLANK(H13)),IF(OR(D13="ALI",D13="AIE"),"L",IF(ISBLANK(D13),"","A")),IF(D13="EE",IF(H13&gt;=3,IF(F13&gt;=5,"H","A"),IF(H13&gt;=2,IF(F13&gt;=16,"H",IF(F13&lt;=4,"L","A")),IF(F13&lt;=15,"L","A"))),IF(OR(D13="SE",D13="CE"),IF(H13&gt;=4,IF(F13&gt;=6,"H","A"),IF(H13&gt;=2,IF(F13&gt;=20,"H",IF(F13&lt;=5,"L","A")),IF(F13&lt;=19,"L","A"))),IF(OR(D13="ALI",D13="AIE"),IF(H13&gt;=6,IF(F13&gt;=20,"H","A"),IF(H13&gt;=2,IF(F13&gt;=51,"H",IF(F13&lt;=19,"L","A")),IF(F13&lt;=50,"L","A")))))))</f>
        <v/>
      </c>
      <c r="M13" s="58">
        <f>IF(L13="L","Baixa",IF(L13="A","Média",IF(L13="","","Alta")))</f>
        <v/>
      </c>
      <c r="N13" s="59">
        <f>IF(ISBLANK(D13),"",IF(D13="ALI",IF(L13="L",7,IF(L13="A",10,15)),IF(D13="AIE",IF(L13="L",5,IF(L13="A",7,10)),IF(D13="SE",IF(L13="L",4,IF(L13="A",5,7)),IF(OR(D13="EE",D13="CE"),IF(L13="L",3,IF(L13="A",4,6)))))))</f>
        <v/>
      </c>
      <c r="O13" s="59">
        <f>IF(E13&lt;&gt;"",VLOOKUP(E13,$P180:$Q211,2,FALSE),"-")</f>
        <v/>
      </c>
      <c r="P13" s="50">
        <f>IF(OR(E13="Manutenção Interface",E13="Paginas Estáticas"),J13*O13,
IF(OR(D13="",E13=""),"",
N13*O13))</f>
        <v/>
      </c>
      <c r="Q13" s="50" t="n"/>
      <c r="S13" s="69">
        <f>IF(OR(M13="Baixa",E13="Manutenção Interface",E13="Paginas Estáticas"),1,0)</f>
        <v/>
      </c>
      <c r="T13" s="69">
        <f>IF(OR(M13="Média",M13="Alta"),1,0)</f>
        <v/>
      </c>
    </row>
    <row r="14" ht="16.5" customHeight="1" s="30">
      <c r="B14" s="105" t="n"/>
      <c r="C14" s="101" t="n"/>
      <c r="D14" s="19" t="n"/>
      <c r="E14" s="57" t="n"/>
      <c r="F14" s="57" t="n"/>
      <c r="G14" s="57" t="n"/>
      <c r="H14" s="57" t="n"/>
      <c r="I14" s="57" t="n"/>
      <c r="J14" s="57" t="n"/>
      <c r="K14" s="57">
        <f>CONCATENATE(D14,L14)</f>
        <v/>
      </c>
      <c r="L14" s="57">
        <f>IF(OR(ISBLANK(F14),ISBLANK(H14)),IF(OR(D14="ALI",D14="AIE"),"L",IF(ISBLANK(D14),"","A")),IF(D14="EE",IF(H14&gt;=3,IF(F14&gt;=5,"H","A"),IF(H14&gt;=2,IF(F14&gt;=16,"H",IF(F14&lt;=4,"L","A")),IF(F14&lt;=15,"L","A"))),IF(OR(D14="SE",D14="CE"),IF(H14&gt;=4,IF(F14&gt;=6,"H","A"),IF(H14&gt;=2,IF(F14&gt;=20,"H",IF(F14&lt;=5,"L","A")),IF(F14&lt;=19,"L","A"))),IF(OR(D14="ALI",D14="AIE"),IF(H14&gt;=6,IF(F14&gt;=20,"H","A"),IF(H14&gt;=2,IF(F14&gt;=51,"H",IF(F14&lt;=19,"L","A")),IF(F14&lt;=50,"L","A")))))))</f>
        <v/>
      </c>
      <c r="M14" s="58">
        <f>IF(L14="L","Baixa",IF(L14="A","Média",IF(L14="","","Alta")))</f>
        <v/>
      </c>
      <c r="N14" s="59">
        <f>IF(ISBLANK(D14),"",IF(D14="ALI",IF(L14="L",7,IF(L14="A",10,15)),IF(D14="AIE",IF(L14="L",5,IF(L14="A",7,10)),IF(D14="SE",IF(L14="L",4,IF(L14="A",5,7)),IF(OR(D14="EE",D14="CE"),IF(L14="L",3,IF(L14="A",4,6)))))))</f>
        <v/>
      </c>
      <c r="O14" s="59">
        <f>IF(E14&lt;&gt;"",VLOOKUP(E14,$P180:$Q211,2,FALSE),"-")</f>
        <v/>
      </c>
      <c r="P14" s="50">
        <f>IF(OR(E14="Manutenção Interface",E14="Paginas Estáticas"),J14*O14,
IF(OR(D14="",E14=""),"",
N14*O14))</f>
        <v/>
      </c>
      <c r="Q14" s="50" t="n"/>
      <c r="S14" s="69">
        <f>IF(OR(M14="Baixa",E14="Manutenção Interface",E14="Paginas Estáticas"),1,0)</f>
        <v/>
      </c>
      <c r="T14" s="69">
        <f>IF(OR(M14="Média",M14="Alta"),1,0)</f>
        <v/>
      </c>
    </row>
    <row r="15" ht="16.5" customHeight="1" s="30">
      <c r="B15" s="105" t="n"/>
      <c r="C15" s="101" t="n"/>
      <c r="D15" s="19" t="n"/>
      <c r="E15" s="57" t="n"/>
      <c r="F15" s="57" t="n"/>
      <c r="G15" s="57" t="n"/>
      <c r="H15" s="57" t="n"/>
      <c r="I15" s="57" t="n"/>
      <c r="J15" s="57" t="n"/>
      <c r="K15" s="57">
        <f>CONCATENATE(D15,L15)</f>
        <v/>
      </c>
      <c r="L15" s="57">
        <f>IF(OR(ISBLANK(F15),ISBLANK(H15)),IF(OR(D15="ALI",D15="AIE"),"L",IF(ISBLANK(D15),"","A")),IF(D15="EE",IF(H15&gt;=3,IF(F15&gt;=5,"H","A"),IF(H15&gt;=2,IF(F15&gt;=16,"H",IF(F15&lt;=4,"L","A")),IF(F15&lt;=15,"L","A"))),IF(OR(D15="SE",D15="CE"),IF(H15&gt;=4,IF(F15&gt;=6,"H","A"),IF(H15&gt;=2,IF(F15&gt;=20,"H",IF(F15&lt;=5,"L","A")),IF(F15&lt;=19,"L","A"))),IF(OR(D15="ALI",D15="AIE"),IF(H15&gt;=6,IF(F15&gt;=20,"H","A"),IF(H15&gt;=2,IF(F15&gt;=51,"H",IF(F15&lt;=19,"L","A")),IF(F15&lt;=50,"L","A")))))))</f>
        <v/>
      </c>
      <c r="M15" s="58">
        <f>IF(L15="L","Baixa",IF(L15="A","Média",IF(L15="","","Alta")))</f>
        <v/>
      </c>
      <c r="N15" s="59">
        <f>IF(ISBLANK(D15),"",IF(D15="ALI",IF(L15="L",7,IF(L15="A",10,15)),IF(D15="AIE",IF(L15="L",5,IF(L15="A",7,10)),IF(D15="SE",IF(L15="L",4,IF(L15="A",5,7)),IF(OR(D15="EE",D15="CE"),IF(L15="L",3,IF(L15="A",4,6)))))))</f>
        <v/>
      </c>
      <c r="O15" s="59">
        <f>IF(E15&lt;&gt;"",VLOOKUP(E15,$P180:$Q211,2,FALSE),"-")</f>
        <v/>
      </c>
      <c r="P15" s="50">
        <f>IF(OR(E15="Manutenção Interface",E15="Paginas Estáticas"),J15*O15,
IF(OR(D15="",E15=""),"",
N15*O15))</f>
        <v/>
      </c>
      <c r="Q15" s="50" t="n"/>
      <c r="S15" s="69">
        <f>IF(OR(M15="Baixa",E15="Manutenção Interface",E15="Paginas Estáticas"),1,0)</f>
        <v/>
      </c>
      <c r="T15" s="69">
        <f>IF(OR(M15="Média",M15="Alta"),1,0)</f>
        <v/>
      </c>
    </row>
    <row r="16" ht="16.5" customHeight="1" s="30">
      <c r="B16" s="105" t="n"/>
      <c r="C16" s="101" t="n"/>
      <c r="D16" s="19" t="n"/>
      <c r="E16" s="57" t="n"/>
      <c r="F16" s="57" t="n"/>
      <c r="G16" s="57" t="n"/>
      <c r="H16" s="57" t="n"/>
      <c r="I16" s="57" t="n"/>
      <c r="J16" s="57" t="n"/>
      <c r="K16" s="57">
        <f>CONCATENATE(D16,L16)</f>
        <v/>
      </c>
      <c r="L16" s="57">
        <f>IF(OR(ISBLANK(F16),ISBLANK(H16)),IF(OR(D16="ALI",D16="AIE"),"L",IF(ISBLANK(D16),"","A")),IF(D16="EE",IF(H16&gt;=3,IF(F16&gt;=5,"H","A"),IF(H16&gt;=2,IF(F16&gt;=16,"H",IF(F16&lt;=4,"L","A")),IF(F16&lt;=15,"L","A"))),IF(OR(D16="SE",D16="CE"),IF(H16&gt;=4,IF(F16&gt;=6,"H","A"),IF(H16&gt;=2,IF(F16&gt;=20,"H",IF(F16&lt;=5,"L","A")),IF(F16&lt;=19,"L","A"))),IF(OR(D16="ALI",D16="AIE"),IF(H16&gt;=6,IF(F16&gt;=20,"H","A"),IF(H16&gt;=2,IF(F16&gt;=51,"H",IF(F16&lt;=19,"L","A")),IF(F16&lt;=50,"L","A")))))))</f>
        <v/>
      </c>
      <c r="M16" s="58">
        <f>IF(L16="L","Baixa",IF(L16="A","Média",IF(L16="","","Alta")))</f>
        <v/>
      </c>
      <c r="N16" s="59">
        <f>IF(ISBLANK(D16),"",IF(D16="ALI",IF(L16="L",7,IF(L16="A",10,15)),IF(D16="AIE",IF(L16="L",5,IF(L16="A",7,10)),IF(D16="SE",IF(L16="L",4,IF(L16="A",5,7)),IF(OR(D16="EE",D16="CE"),IF(L16="L",3,IF(L16="A",4,6)))))))</f>
        <v/>
      </c>
      <c r="O16" s="59">
        <f>IF(E16&lt;&gt;"",VLOOKUP(E16,$P180:$Q211,2,FALSE),"-")</f>
        <v/>
      </c>
      <c r="P16" s="50">
        <f>IF(OR(E16="Manutenção Interface",E16="Paginas Estáticas"),J16*O16,
IF(OR(D16="",E16=""),"",
N16*O16))</f>
        <v/>
      </c>
      <c r="Q16" s="50" t="n"/>
      <c r="S16" s="69">
        <f>IF(OR(M16="Baixa",E16="Manutenção Interface",E16="Paginas Estáticas"),1,0)</f>
        <v/>
      </c>
      <c r="T16" s="69">
        <f>IF(OR(M16="Média",M16="Alta"),1,0)</f>
        <v/>
      </c>
    </row>
    <row r="17" ht="16.5" customHeight="1" s="30">
      <c r="B17" s="105" t="n"/>
      <c r="C17" s="101" t="n"/>
      <c r="D17" s="19" t="n"/>
      <c r="E17" s="57" t="n"/>
      <c r="F17" s="57" t="n"/>
      <c r="G17" s="57" t="n"/>
      <c r="H17" s="57" t="n"/>
      <c r="I17" s="57" t="n"/>
      <c r="J17" s="57" t="n"/>
      <c r="K17" s="57">
        <f>CONCATENATE(D17,L17)</f>
        <v/>
      </c>
      <c r="L17" s="57">
        <f>IF(OR(ISBLANK(F17),ISBLANK(H17)),IF(OR(D17="ALI",D17="AIE"),"L",IF(ISBLANK(D17),"","A")),IF(D17="EE",IF(H17&gt;=3,IF(F17&gt;=5,"H","A"),IF(H17&gt;=2,IF(F17&gt;=16,"H",IF(F17&lt;=4,"L","A")),IF(F17&lt;=15,"L","A"))),IF(OR(D17="SE",D17="CE"),IF(H17&gt;=4,IF(F17&gt;=6,"H","A"),IF(H17&gt;=2,IF(F17&gt;=20,"H",IF(F17&lt;=5,"L","A")),IF(F17&lt;=19,"L","A"))),IF(OR(D17="ALI",D17="AIE"),IF(H17&gt;=6,IF(F17&gt;=20,"H","A"),IF(H17&gt;=2,IF(F17&gt;=51,"H",IF(F17&lt;=19,"L","A")),IF(F17&lt;=50,"L","A")))))))</f>
        <v/>
      </c>
      <c r="M17" s="58">
        <f>IF(L17="L","Baixa",IF(L17="A","Média",IF(L17="","","Alta")))</f>
        <v/>
      </c>
      <c r="N17" s="59">
        <f>IF(ISBLANK(D17),"",IF(D17="ALI",IF(L17="L",7,IF(L17="A",10,15)),IF(D17="AIE",IF(L17="L",5,IF(L17="A",7,10)),IF(D17="SE",IF(L17="L",4,IF(L17="A",5,7)),IF(OR(D17="EE",D17="CE"),IF(L17="L",3,IF(L17="A",4,6)))))))</f>
        <v/>
      </c>
      <c r="O17" s="59">
        <f>IF(E17&lt;&gt;"",VLOOKUP(E17,$P180:$Q211,2,FALSE),"-")</f>
        <v/>
      </c>
      <c r="P17" s="50">
        <f>IF(OR(E17="Manutenção Interface",E17="Paginas Estáticas"),J17*O17,
IF(OR(D17="",E17=""),"",
N17*O17))</f>
        <v/>
      </c>
      <c r="Q17" s="50" t="n"/>
      <c r="S17" s="69">
        <f>IF(OR(M17="Baixa",E17="Manutenção Interface",E17="Paginas Estáticas"),1,0)</f>
        <v/>
      </c>
      <c r="T17" s="69">
        <f>IF(OR(M17="Média",M17="Alta"),1,0)</f>
        <v/>
      </c>
    </row>
    <row r="18" ht="16.5" customHeight="1" s="30">
      <c r="B18" s="105" t="n"/>
      <c r="C18" s="101" t="n"/>
      <c r="D18" s="19" t="n"/>
      <c r="E18" s="57" t="n"/>
      <c r="F18" s="57" t="n"/>
      <c r="G18" s="57" t="n"/>
      <c r="H18" s="57" t="n"/>
      <c r="I18" s="57" t="n"/>
      <c r="J18" s="57" t="n"/>
      <c r="K18" s="57">
        <f>CONCATENATE(D18,L18)</f>
        <v/>
      </c>
      <c r="L18" s="57">
        <f>IF(OR(ISBLANK(F18),ISBLANK(H18)),IF(OR(D18="ALI",D18="AIE"),"L",IF(ISBLANK(D18),"","A")),IF(D18="EE",IF(H18&gt;=3,IF(F18&gt;=5,"H","A"),IF(H18&gt;=2,IF(F18&gt;=16,"H",IF(F18&lt;=4,"L","A")),IF(F18&lt;=15,"L","A"))),IF(OR(D18="SE",D18="CE"),IF(H18&gt;=4,IF(F18&gt;=6,"H","A"),IF(H18&gt;=2,IF(F18&gt;=20,"H",IF(F18&lt;=5,"L","A")),IF(F18&lt;=19,"L","A"))),IF(OR(D18="ALI",D18="AIE"),IF(H18&gt;=6,IF(F18&gt;=20,"H","A"),IF(H18&gt;=2,IF(F18&gt;=51,"H",IF(F18&lt;=19,"L","A")),IF(F18&lt;=50,"L","A")))))))</f>
        <v/>
      </c>
      <c r="M18" s="58">
        <f>IF(L18="L","Baixa",IF(L18="A","Média",IF(L18="","","Alta")))</f>
        <v/>
      </c>
      <c r="N18" s="59">
        <f>IF(ISBLANK(D18),"",IF(D18="ALI",IF(L18="L",7,IF(L18="A",10,15)),IF(D18="AIE",IF(L18="L",5,IF(L18="A",7,10)),IF(D18="SE",IF(L18="L",4,IF(L18="A",5,7)),IF(OR(D18="EE",D18="CE"),IF(L18="L",3,IF(L18="A",4,6)))))))</f>
        <v/>
      </c>
      <c r="O18" s="59">
        <f>IF(E18&lt;&gt;"",VLOOKUP(E18,$P180:$Q211,2,FALSE),"-")</f>
        <v/>
      </c>
      <c r="P18" s="50">
        <f>IF(OR(E18="Manutenção Interface",E18="Paginas Estáticas"),J18*O18,
IF(OR(D18="",E18=""),"",
N18*O18))</f>
        <v/>
      </c>
      <c r="Q18" s="50" t="n"/>
      <c r="S18" s="69">
        <f>IF(OR(M18="Baixa",E18="Manutenção Interface",E18="Paginas Estáticas"),1,0)</f>
        <v/>
      </c>
      <c r="T18" s="69">
        <f>IF(OR(M18="Média",M18="Alta"),1,0)</f>
        <v/>
      </c>
    </row>
    <row r="19" ht="16.5" customHeight="1" s="30">
      <c r="B19" s="105" t="n"/>
      <c r="C19" s="101" t="n"/>
      <c r="D19" s="19" t="n"/>
      <c r="E19" s="57" t="n"/>
      <c r="F19" s="57" t="n"/>
      <c r="G19" s="57" t="n"/>
      <c r="H19" s="57" t="n"/>
      <c r="I19" s="57" t="n"/>
      <c r="J19" s="57" t="n"/>
      <c r="K19" s="57">
        <f>CONCATENATE(D19,L19)</f>
        <v/>
      </c>
      <c r="L19" s="57">
        <f>IF(OR(ISBLANK(F19),ISBLANK(H19)),IF(OR(D19="ALI",D19="AIE"),"L",IF(ISBLANK(D19),"","A")),IF(D19="EE",IF(H19&gt;=3,IF(F19&gt;=5,"H","A"),IF(H19&gt;=2,IF(F19&gt;=16,"H",IF(F19&lt;=4,"L","A")),IF(F19&lt;=15,"L","A"))),IF(OR(D19="SE",D19="CE"),IF(H19&gt;=4,IF(F19&gt;=6,"H","A"),IF(H19&gt;=2,IF(F19&gt;=20,"H",IF(F19&lt;=5,"L","A")),IF(F19&lt;=19,"L","A"))),IF(OR(D19="ALI",D19="AIE"),IF(H19&gt;=6,IF(F19&gt;=20,"H","A"),IF(H19&gt;=2,IF(F19&gt;=51,"H",IF(F19&lt;=19,"L","A")),IF(F19&lt;=50,"L","A")))))))</f>
        <v/>
      </c>
      <c r="M19" s="58">
        <f>IF(L19="L","Baixa",IF(L19="A","Média",IF(L19="","","Alta")))</f>
        <v/>
      </c>
      <c r="N19" s="59">
        <f>IF(ISBLANK(D19),"",IF(D19="ALI",IF(L19="L",7,IF(L19="A",10,15)),IF(D19="AIE",IF(L19="L",5,IF(L19="A",7,10)),IF(D19="SE",IF(L19="L",4,IF(L19="A",5,7)),IF(OR(D19="EE",D19="CE"),IF(L19="L",3,IF(L19="A",4,6)))))))</f>
        <v/>
      </c>
      <c r="O19" s="59">
        <f>IF(E19&lt;&gt;"",VLOOKUP(E19,$P180:$Q211,2,FALSE),"-")</f>
        <v/>
      </c>
      <c r="P19" s="50">
        <f>IF(OR(E19="Manutenção Interface",E19="Paginas Estáticas"),J19*O19,
IF(OR(D19="",E19=""),"",
N19*O19))</f>
        <v/>
      </c>
      <c r="Q19" s="50" t="n"/>
      <c r="S19" s="69">
        <f>IF(OR(M19="Baixa",E19="Manutenção Interface",E19="Paginas Estáticas"),1,0)</f>
        <v/>
      </c>
      <c r="T19" s="69">
        <f>IF(OR(M19="Média",M19="Alta"),1,0)</f>
        <v/>
      </c>
    </row>
    <row r="20" ht="16.5" customHeight="1" s="30">
      <c r="B20" s="105" t="n"/>
      <c r="C20" s="101" t="n"/>
      <c r="D20" s="19" t="n"/>
      <c r="E20" s="57" t="n"/>
      <c r="F20" s="57" t="n"/>
      <c r="G20" s="57" t="n"/>
      <c r="H20" s="57" t="n"/>
      <c r="I20" s="57" t="n"/>
      <c r="J20" s="57" t="n"/>
      <c r="K20" s="57">
        <f>CONCATENATE(D20,L20)</f>
        <v/>
      </c>
      <c r="L20" s="57">
        <f>IF(OR(ISBLANK(F20),ISBLANK(H20)),IF(OR(D20="ALI",D20="AIE"),"L",IF(ISBLANK(D20),"","A")),IF(D20="EE",IF(H20&gt;=3,IF(F20&gt;=5,"H","A"),IF(H20&gt;=2,IF(F20&gt;=16,"H",IF(F20&lt;=4,"L","A")),IF(F20&lt;=15,"L","A"))),IF(OR(D20="SE",D20="CE"),IF(H20&gt;=4,IF(F20&gt;=6,"H","A"),IF(H20&gt;=2,IF(F20&gt;=20,"H",IF(F20&lt;=5,"L","A")),IF(F20&lt;=19,"L","A"))),IF(OR(D20="ALI",D20="AIE"),IF(H20&gt;=6,IF(F20&gt;=20,"H","A"),IF(H20&gt;=2,IF(F20&gt;=51,"H",IF(F20&lt;=19,"L","A")),IF(F20&lt;=50,"L","A")))))))</f>
        <v/>
      </c>
      <c r="M20" s="58">
        <f>IF(L20="L","Baixa",IF(L20="A","Média",IF(L20="","","Alta")))</f>
        <v/>
      </c>
      <c r="N20" s="59">
        <f>IF(ISBLANK(D20),"",IF(D20="ALI",IF(L20="L",7,IF(L20="A",10,15)),IF(D20="AIE",IF(L20="L",5,IF(L20="A",7,10)),IF(D20="SE",IF(L20="L",4,IF(L20="A",5,7)),IF(OR(D20="EE",D20="CE"),IF(L20="L",3,IF(L20="A",4,6)))))))</f>
        <v/>
      </c>
      <c r="O20" s="59">
        <f>IF(E20&lt;&gt;"",VLOOKUP(E20,$P180:$Q211,2,FALSE),"-")</f>
        <v/>
      </c>
      <c r="P20" s="50">
        <f>IF(OR(E20="Manutenção Interface",E20="Paginas Estáticas"),J20*O20,
IF(OR(D20="",E20=""),"",
N20*O20))</f>
        <v/>
      </c>
      <c r="Q20" s="50" t="n"/>
      <c r="S20" s="69">
        <f>IF(OR(M20="Baixa",E20="Manutenção Interface",E20="Paginas Estáticas"),1,0)</f>
        <v/>
      </c>
      <c r="T20" s="69">
        <f>IF(OR(M20="Média",M20="Alta"),1,0)</f>
        <v/>
      </c>
    </row>
    <row r="21" ht="16.5" customHeight="1" s="30">
      <c r="B21" s="105" t="n"/>
      <c r="C21" s="101" t="n"/>
      <c r="D21" s="19" t="n"/>
      <c r="E21" s="57" t="n"/>
      <c r="F21" s="57" t="n"/>
      <c r="G21" s="57" t="n"/>
      <c r="H21" s="57" t="n"/>
      <c r="I21" s="57" t="n"/>
      <c r="J21" s="57" t="n"/>
      <c r="K21" s="57">
        <f>CONCATENATE(D21,L21)</f>
        <v/>
      </c>
      <c r="L21" s="57">
        <f>IF(OR(ISBLANK(F21),ISBLANK(H21)),IF(OR(D21="ALI",D21="AIE"),"L",IF(ISBLANK(D21),"","A")),IF(D21="EE",IF(H21&gt;=3,IF(F21&gt;=5,"H","A"),IF(H21&gt;=2,IF(F21&gt;=16,"H",IF(F21&lt;=4,"L","A")),IF(F21&lt;=15,"L","A"))),IF(OR(D21="SE",D21="CE"),IF(H21&gt;=4,IF(F21&gt;=6,"H","A"),IF(H21&gt;=2,IF(F21&gt;=20,"H",IF(F21&lt;=5,"L","A")),IF(F21&lt;=19,"L","A"))),IF(OR(D21="ALI",D21="AIE"),IF(H21&gt;=6,IF(F21&gt;=20,"H","A"),IF(H21&gt;=2,IF(F21&gt;=51,"H",IF(F21&lt;=19,"L","A")),IF(F21&lt;=50,"L","A")))))))</f>
        <v/>
      </c>
      <c r="M21" s="58">
        <f>IF(L21="L","Baixa",IF(L21="A","Média",IF(L21="","","Alta")))</f>
        <v/>
      </c>
      <c r="N21" s="59">
        <f>IF(ISBLANK(D21),"",IF(D21="ALI",IF(L21="L",7,IF(L21="A",10,15)),IF(D21="AIE",IF(L21="L",5,IF(L21="A",7,10)),IF(D21="SE",IF(L21="L",4,IF(L21="A",5,7)),IF(OR(D21="EE",D21="CE"),IF(L21="L",3,IF(L21="A",4,6)))))))</f>
        <v/>
      </c>
      <c r="O21" s="59">
        <f>IF(E21&lt;&gt;"",VLOOKUP(E21,$P180:$Q211,2,FALSE),"-")</f>
        <v/>
      </c>
      <c r="P21" s="50">
        <f>IF(OR(E21="Manutenção Interface",E21="Paginas Estáticas"),J21*O21,
IF(OR(D21="",E21=""),"",
N21*O21))</f>
        <v/>
      </c>
      <c r="Q21" s="50" t="n"/>
      <c r="S21" s="69">
        <f>IF(OR(M21="Baixa",E21="Manutenção Interface",E21="Paginas Estáticas"),1,0)</f>
        <v/>
      </c>
      <c r="T21" s="69">
        <f>IF(OR(M21="Média",M21="Alta"),1,0)</f>
        <v/>
      </c>
    </row>
    <row r="22" ht="16.5" customHeight="1" s="30">
      <c r="B22" s="105" t="n"/>
      <c r="C22" s="101" t="n"/>
      <c r="D22" s="19" t="n"/>
      <c r="E22" s="57" t="n"/>
      <c r="F22" s="57" t="n"/>
      <c r="G22" s="57" t="n"/>
      <c r="H22" s="57" t="n"/>
      <c r="I22" s="57" t="n"/>
      <c r="J22" s="57" t="n"/>
      <c r="K22" s="57">
        <f>CONCATENATE(D22,L22)</f>
        <v/>
      </c>
      <c r="L22" s="57">
        <f>IF(OR(ISBLANK(F22),ISBLANK(H22)),IF(OR(D22="ALI",D22="AIE"),"L",IF(ISBLANK(D22),"","A")),IF(D22="EE",IF(H22&gt;=3,IF(F22&gt;=5,"H","A"),IF(H22&gt;=2,IF(F22&gt;=16,"H",IF(F22&lt;=4,"L","A")),IF(F22&lt;=15,"L","A"))),IF(OR(D22="SE",D22="CE"),IF(H22&gt;=4,IF(F22&gt;=6,"H","A"),IF(H22&gt;=2,IF(F22&gt;=20,"H",IF(F22&lt;=5,"L","A")),IF(F22&lt;=19,"L","A"))),IF(OR(D22="ALI",D22="AIE"),IF(H22&gt;=6,IF(F22&gt;=20,"H","A"),IF(H22&gt;=2,IF(F22&gt;=51,"H",IF(F22&lt;=19,"L","A")),IF(F22&lt;=50,"L","A")))))))</f>
        <v/>
      </c>
      <c r="M22" s="58">
        <f>IF(L22="L","Baixa",IF(L22="A","Média",IF(L22="","","Alta")))</f>
        <v/>
      </c>
      <c r="N22" s="59">
        <f>IF(ISBLANK(D22),"",IF(D22="ALI",IF(L22="L",7,IF(L22="A",10,15)),IF(D22="AIE",IF(L22="L",5,IF(L22="A",7,10)),IF(D22="SE",IF(L22="L",4,IF(L22="A",5,7)),IF(OR(D22="EE",D22="CE"),IF(L22="L",3,IF(L22="A",4,6)))))))</f>
        <v/>
      </c>
      <c r="O22" s="59">
        <f>IF(E22&lt;&gt;"",VLOOKUP(E22,$P180:$Q211,2,FALSE),"-")</f>
        <v/>
      </c>
      <c r="P22" s="50">
        <f>IF(OR(E22="Manutenção Interface",E22="Paginas Estáticas"),J22*O22,
IF(OR(D22="",E22=""),"",
N22*O22))</f>
        <v/>
      </c>
      <c r="Q22" s="50" t="n"/>
      <c r="S22" s="69">
        <f>IF(OR(M22="Baixa",E22="Manutenção Interface",E22="Paginas Estáticas"),1,0)</f>
        <v/>
      </c>
      <c r="T22" s="69">
        <f>IF(OR(M22="Média",M22="Alta"),1,0)</f>
        <v/>
      </c>
    </row>
    <row r="23" ht="16.5" customHeight="1" s="30">
      <c r="B23" s="105" t="n"/>
      <c r="C23" s="101" t="n"/>
      <c r="D23" s="19" t="n"/>
      <c r="E23" s="57" t="n"/>
      <c r="F23" s="57" t="n"/>
      <c r="G23" s="57" t="n"/>
      <c r="H23" s="57" t="n"/>
      <c r="I23" s="57" t="n"/>
      <c r="J23" s="57" t="n"/>
      <c r="K23" s="57">
        <f>CONCATENATE(D23,L23)</f>
        <v/>
      </c>
      <c r="L23" s="57">
        <f>IF(OR(ISBLANK(F23),ISBLANK(H23)),IF(OR(D23="ALI",D23="AIE"),"L",IF(ISBLANK(D23),"","A")),IF(D23="EE",IF(H23&gt;=3,IF(F23&gt;=5,"H","A"),IF(H23&gt;=2,IF(F23&gt;=16,"H",IF(F23&lt;=4,"L","A")),IF(F23&lt;=15,"L","A"))),IF(OR(D23="SE",D23="CE"),IF(H23&gt;=4,IF(F23&gt;=6,"H","A"),IF(H23&gt;=2,IF(F23&gt;=20,"H",IF(F23&lt;=5,"L","A")),IF(F23&lt;=19,"L","A"))),IF(OR(D23="ALI",D23="AIE"),IF(H23&gt;=6,IF(F23&gt;=20,"H","A"),IF(H23&gt;=2,IF(F23&gt;=51,"H",IF(F23&lt;=19,"L","A")),IF(F23&lt;=50,"L","A")))))))</f>
        <v/>
      </c>
      <c r="M23" s="58">
        <f>IF(L23="L","Baixa",IF(L23="A","Média",IF(L23="","","Alta")))</f>
        <v/>
      </c>
      <c r="N23" s="59">
        <f>IF(ISBLANK(D23),"",IF(D23="ALI",IF(L23="L",7,IF(L23="A",10,15)),IF(D23="AIE",IF(L23="L",5,IF(L23="A",7,10)),IF(D23="SE",IF(L23="L",4,IF(L23="A",5,7)),IF(OR(D23="EE",D23="CE"),IF(L23="L",3,IF(L23="A",4,6)))))))</f>
        <v/>
      </c>
      <c r="O23" s="59">
        <f>IF(E23&lt;&gt;"",VLOOKUP(E23,$P180:$Q211,2,FALSE),"-")</f>
        <v/>
      </c>
      <c r="P23" s="50">
        <f>IF(OR(E23="Manutenção Interface",E23="Paginas Estáticas"),J23*O23,
IF(OR(D23="",E23=""),"",
N23*O23))</f>
        <v/>
      </c>
      <c r="Q23" s="50" t="n"/>
      <c r="S23" s="69">
        <f>IF(OR(M23="Baixa",E23="Manutenção Interface",E23="Paginas Estáticas"),1,0)</f>
        <v/>
      </c>
      <c r="T23" s="69">
        <f>IF(OR(M23="Média",M23="Alta"),1,0)</f>
        <v/>
      </c>
    </row>
    <row r="24" ht="16.5" customHeight="1" s="30">
      <c r="B24" s="105" t="n"/>
      <c r="C24" s="101" t="n"/>
      <c r="D24" s="19" t="n"/>
      <c r="E24" s="57" t="n"/>
      <c r="F24" s="57" t="n"/>
      <c r="G24" s="57" t="n"/>
      <c r="H24" s="57" t="n"/>
      <c r="I24" s="57" t="n"/>
      <c r="J24" s="57" t="n"/>
      <c r="K24" s="57">
        <f>CONCATENATE(D24,L24)</f>
        <v/>
      </c>
      <c r="L24" s="57">
        <f>IF(OR(ISBLANK(F24),ISBLANK(H24)),IF(OR(D24="ALI",D24="AIE"),"L",IF(ISBLANK(D24),"","A")),IF(D24="EE",IF(H24&gt;=3,IF(F24&gt;=5,"H","A"),IF(H24&gt;=2,IF(F24&gt;=16,"H",IF(F24&lt;=4,"L","A")),IF(F24&lt;=15,"L","A"))),IF(OR(D24="SE",D24="CE"),IF(H24&gt;=4,IF(F24&gt;=6,"H","A"),IF(H24&gt;=2,IF(F24&gt;=20,"H",IF(F24&lt;=5,"L","A")),IF(F24&lt;=19,"L","A"))),IF(OR(D24="ALI",D24="AIE"),IF(H24&gt;=6,IF(F24&gt;=20,"H","A"),IF(H24&gt;=2,IF(F24&gt;=51,"H",IF(F24&lt;=19,"L","A")),IF(F24&lt;=50,"L","A")))))))</f>
        <v/>
      </c>
      <c r="M24" s="58">
        <f>IF(L24="L","Baixa",IF(L24="A","Média",IF(L24="","","Alta")))</f>
        <v/>
      </c>
      <c r="N24" s="59">
        <f>IF(ISBLANK(D24),"",IF(D24="ALI",IF(L24="L",7,IF(L24="A",10,15)),IF(D24="AIE",IF(L24="L",5,IF(L24="A",7,10)),IF(D24="SE",IF(L24="L",4,IF(L24="A",5,7)),IF(OR(D24="EE",D24="CE"),IF(L24="L",3,IF(L24="A",4,6)))))))</f>
        <v/>
      </c>
      <c r="O24" s="59">
        <f>IF(E24&lt;&gt;"",VLOOKUP(E24,$P180:$Q211,2,FALSE),"-")</f>
        <v/>
      </c>
      <c r="P24" s="50">
        <f>IF(OR(E24="Manutenção Interface",E24="Paginas Estáticas"),J24*O24,
IF(OR(D24="",E24=""),"",
N24*O24))</f>
        <v/>
      </c>
      <c r="Q24" s="50" t="n"/>
      <c r="S24" s="69">
        <f>IF(OR(M24="Baixa",E24="Manutenção Interface",E24="Paginas Estáticas"),1,0)</f>
        <v/>
      </c>
      <c r="T24" s="69">
        <f>IF(OR(M24="Média",M24="Alta"),1,0)</f>
        <v/>
      </c>
    </row>
    <row r="25" ht="16.5" customHeight="1" s="30">
      <c r="B25" s="105" t="n"/>
      <c r="C25" s="101" t="n"/>
      <c r="D25" s="19" t="n"/>
      <c r="E25" s="57" t="n"/>
      <c r="F25" s="57" t="n"/>
      <c r="G25" s="57" t="n"/>
      <c r="H25" s="57" t="n"/>
      <c r="I25" s="57" t="n"/>
      <c r="J25" s="57" t="n"/>
      <c r="K25" s="57">
        <f>CONCATENATE(D25,L25)</f>
        <v/>
      </c>
      <c r="L25" s="57">
        <f>IF(OR(ISBLANK(F25),ISBLANK(H25)),IF(OR(D25="ALI",D25="AIE"),"L",IF(ISBLANK(D25),"","A")),IF(D25="EE",IF(H25&gt;=3,IF(F25&gt;=5,"H","A"),IF(H25&gt;=2,IF(F25&gt;=16,"H",IF(F25&lt;=4,"L","A")),IF(F25&lt;=15,"L","A"))),IF(OR(D25="SE",D25="CE"),IF(H25&gt;=4,IF(F25&gt;=6,"H","A"),IF(H25&gt;=2,IF(F25&gt;=20,"H",IF(F25&lt;=5,"L","A")),IF(F25&lt;=19,"L","A"))),IF(OR(D25="ALI",D25="AIE"),IF(H25&gt;=6,IF(F25&gt;=20,"H","A"),IF(H25&gt;=2,IF(F25&gt;=51,"H",IF(F25&lt;=19,"L","A")),IF(F25&lt;=50,"L","A")))))))</f>
        <v/>
      </c>
      <c r="M25" s="58">
        <f>IF(L25="L","Baixa",IF(L25="A","Média",IF(L25="","","Alta")))</f>
        <v/>
      </c>
      <c r="N25" s="59">
        <f>IF(ISBLANK(D25),"",IF(D25="ALI",IF(L25="L",7,IF(L25="A",10,15)),IF(D25="AIE",IF(L25="L",5,IF(L25="A",7,10)),IF(D25="SE",IF(L25="L",4,IF(L25="A",5,7)),IF(OR(D25="EE",D25="CE"),IF(L25="L",3,IF(L25="A",4,6)))))))</f>
        <v/>
      </c>
      <c r="O25" s="59">
        <f>IF(E25&lt;&gt;"",VLOOKUP(E25,$P180:$Q211,2,FALSE),"-")</f>
        <v/>
      </c>
      <c r="P25" s="50">
        <f>IF(OR(E25="Manutenção Interface",E25="Paginas Estáticas"),J25*O25,
IF(OR(D25="",E25=""),"",
N25*O25))</f>
        <v/>
      </c>
      <c r="Q25" s="50" t="n"/>
      <c r="S25" s="69">
        <f>IF(OR(M25="Baixa",E25="Manutenção Interface",E25="Paginas Estáticas"),1,0)</f>
        <v/>
      </c>
      <c r="T25" s="69">
        <f>IF(OR(M25="Média",M25="Alta"),1,0)</f>
        <v/>
      </c>
    </row>
    <row r="26" ht="16.5" customHeight="1" s="30">
      <c r="B26" s="105" t="n"/>
      <c r="C26" s="101" t="n"/>
      <c r="D26" s="19" t="n"/>
      <c r="E26" s="57" t="n"/>
      <c r="F26" s="57" t="n"/>
      <c r="G26" s="57" t="n"/>
      <c r="H26" s="57" t="n"/>
      <c r="I26" s="57" t="n"/>
      <c r="J26" s="57" t="n"/>
      <c r="K26" s="57">
        <f>CONCATENATE(D26,L26)</f>
        <v/>
      </c>
      <c r="L26" s="57">
        <f>IF(OR(ISBLANK(F26),ISBLANK(H26)),IF(OR(D26="ALI",D26="AIE"),"L",IF(ISBLANK(D26),"","A")),IF(D26="EE",IF(H26&gt;=3,IF(F26&gt;=5,"H","A"),IF(H26&gt;=2,IF(F26&gt;=16,"H",IF(F26&lt;=4,"L","A")),IF(F26&lt;=15,"L","A"))),IF(OR(D26="SE",D26="CE"),IF(H26&gt;=4,IF(F26&gt;=6,"H","A"),IF(H26&gt;=2,IF(F26&gt;=20,"H",IF(F26&lt;=5,"L","A")),IF(F26&lt;=19,"L","A"))),IF(OR(D26="ALI",D26="AIE"),IF(H26&gt;=6,IF(F26&gt;=20,"H","A"),IF(H26&gt;=2,IF(F26&gt;=51,"H",IF(F26&lt;=19,"L","A")),IF(F26&lt;=50,"L","A")))))))</f>
        <v/>
      </c>
      <c r="M26" s="58">
        <f>IF(L26="L","Baixa",IF(L26="A","Média",IF(L26="","","Alta")))</f>
        <v/>
      </c>
      <c r="N26" s="59">
        <f>IF(ISBLANK(D26),"",IF(D26="ALI",IF(L26="L",7,IF(L26="A",10,15)),IF(D26="AIE",IF(L26="L",5,IF(L26="A",7,10)),IF(D26="SE",IF(L26="L",4,IF(L26="A",5,7)),IF(OR(D26="EE",D26="CE"),IF(L26="L",3,IF(L26="A",4,6)))))))</f>
        <v/>
      </c>
      <c r="O26" s="59">
        <f>IF(E26&lt;&gt;"",VLOOKUP(E26,$P180:$Q211,2,FALSE),"-")</f>
        <v/>
      </c>
      <c r="P26" s="50">
        <f>IF(OR(E26="Manutenção Interface",E26="Paginas Estáticas"),J26*O26,
IF(OR(D26="",E26=""),"",
N26*O26))</f>
        <v/>
      </c>
      <c r="Q26" s="50" t="n"/>
      <c r="S26" s="69">
        <f>IF(OR(M26="Baixa",E26="Manutenção Interface",E26="Paginas Estáticas"),1,0)</f>
        <v/>
      </c>
      <c r="T26" s="69">
        <f>IF(OR(M26="Média",M26="Alta"),1,0)</f>
        <v/>
      </c>
    </row>
    <row r="27" ht="16.5" customHeight="1" s="30">
      <c r="B27" s="105" t="n"/>
      <c r="C27" s="101" t="n"/>
      <c r="D27" s="19" t="n"/>
      <c r="E27" s="57" t="n"/>
      <c r="F27" s="57" t="n"/>
      <c r="G27" s="57" t="n"/>
      <c r="H27" s="57" t="n"/>
      <c r="I27" s="57" t="n"/>
      <c r="J27" s="57" t="n"/>
      <c r="K27" s="57">
        <f>CONCATENATE(D27,L27)</f>
        <v/>
      </c>
      <c r="L27" s="57">
        <f>IF(OR(ISBLANK(F27),ISBLANK(H27)),IF(OR(D27="ALI",D27="AIE"),"L",IF(ISBLANK(D27),"","A")),IF(D27="EE",IF(H27&gt;=3,IF(F27&gt;=5,"H","A"),IF(H27&gt;=2,IF(F27&gt;=16,"H",IF(F27&lt;=4,"L","A")),IF(F27&lt;=15,"L","A"))),IF(OR(D27="SE",D27="CE"),IF(H27&gt;=4,IF(F27&gt;=6,"H","A"),IF(H27&gt;=2,IF(F27&gt;=20,"H",IF(F27&lt;=5,"L","A")),IF(F27&lt;=19,"L","A"))),IF(OR(D27="ALI",D27="AIE"),IF(H27&gt;=6,IF(F27&gt;=20,"H","A"),IF(H27&gt;=2,IF(F27&gt;=51,"H",IF(F27&lt;=19,"L","A")),IF(F27&lt;=50,"L","A")))))))</f>
        <v/>
      </c>
      <c r="M27" s="58">
        <f>IF(L27="L","Baixa",IF(L27="A","Média",IF(L27="","","Alta")))</f>
        <v/>
      </c>
      <c r="N27" s="59">
        <f>IF(ISBLANK(D27),"",IF(D27="ALI",IF(L27="L",7,IF(L27="A",10,15)),IF(D27="AIE",IF(L27="L",5,IF(L27="A",7,10)),IF(D27="SE",IF(L27="L",4,IF(L27="A",5,7)),IF(OR(D27="EE",D27="CE"),IF(L27="L",3,IF(L27="A",4,6)))))))</f>
        <v/>
      </c>
      <c r="O27" s="59">
        <f>IF(E27&lt;&gt;"",VLOOKUP(E27,$P180:$Q211,2,FALSE),"-")</f>
        <v/>
      </c>
      <c r="P27" s="50">
        <f>IF(OR(E27="Manutenção Interface",E27="Paginas Estáticas"),J27*O27,
IF(OR(D27="",E27=""),"",
N27*O27))</f>
        <v/>
      </c>
      <c r="Q27" s="50" t="n"/>
      <c r="S27" s="69">
        <f>IF(OR(M27="Baixa",E27="Manutenção Interface",E27="Paginas Estáticas"),1,0)</f>
        <v/>
      </c>
      <c r="T27" s="69">
        <f>IF(OR(M27="Média",M27="Alta"),1,0)</f>
        <v/>
      </c>
    </row>
    <row r="28" ht="16.5" customHeight="1" s="30">
      <c r="B28" s="105" t="n"/>
      <c r="C28" s="101" t="n"/>
      <c r="D28" s="19" t="n"/>
      <c r="E28" s="57" t="n"/>
      <c r="F28" s="57" t="n"/>
      <c r="G28" s="57" t="n"/>
      <c r="H28" s="57" t="n"/>
      <c r="I28" s="57" t="n"/>
      <c r="J28" s="57" t="n"/>
      <c r="K28" s="57">
        <f>CONCATENATE(D28,L28)</f>
        <v/>
      </c>
      <c r="L28" s="57">
        <f>IF(OR(ISBLANK(F28),ISBLANK(H28)),IF(OR(D28="ALI",D28="AIE"),"L",IF(ISBLANK(D28),"","A")),IF(D28="EE",IF(H28&gt;=3,IF(F28&gt;=5,"H","A"),IF(H28&gt;=2,IF(F28&gt;=16,"H",IF(F28&lt;=4,"L","A")),IF(F28&lt;=15,"L","A"))),IF(OR(D28="SE",D28="CE"),IF(H28&gt;=4,IF(F28&gt;=6,"H","A"),IF(H28&gt;=2,IF(F28&gt;=20,"H",IF(F28&lt;=5,"L","A")),IF(F28&lt;=19,"L","A"))),IF(OR(D28="ALI",D28="AIE"),IF(H28&gt;=6,IF(F28&gt;=20,"H","A"),IF(H28&gt;=2,IF(F28&gt;=51,"H",IF(F28&lt;=19,"L","A")),IF(F28&lt;=50,"L","A")))))))</f>
        <v/>
      </c>
      <c r="M28" s="58">
        <f>IF(L28="L","Baixa",IF(L28="A","Média",IF(L28="","","Alta")))</f>
        <v/>
      </c>
      <c r="N28" s="59">
        <f>IF(ISBLANK(D28),"",IF(D28="ALI",IF(L28="L",7,IF(L28="A",10,15)),IF(D28="AIE",IF(L28="L",5,IF(L28="A",7,10)),IF(D28="SE",IF(L28="L",4,IF(L28="A",5,7)),IF(OR(D28="EE",D28="CE"),IF(L28="L",3,IF(L28="A",4,6)))))))</f>
        <v/>
      </c>
      <c r="O28" s="59">
        <f>IF(E28&lt;&gt;"",VLOOKUP(E28,$P180:$Q211,2,FALSE),"-")</f>
        <v/>
      </c>
      <c r="P28" s="50">
        <f>IF(OR(E28="Manutenção Interface",E28="Paginas Estáticas"),J28*O28,
IF(OR(D28="",E28=""),"",
N28*O28))</f>
        <v/>
      </c>
      <c r="Q28" s="50" t="n"/>
      <c r="S28" s="69">
        <f>IF(OR(M28="Baixa",E28="Manutenção Interface",E28="Paginas Estáticas"),1,0)</f>
        <v/>
      </c>
      <c r="T28" s="69">
        <f>IF(OR(M28="Média",M28="Alta"),1,0)</f>
        <v/>
      </c>
    </row>
    <row r="29" ht="16.5" customHeight="1" s="30">
      <c r="B29" s="105" t="n"/>
      <c r="C29" s="101" t="n"/>
      <c r="D29" s="19" t="n"/>
      <c r="E29" s="57" t="n"/>
      <c r="F29" s="57" t="n"/>
      <c r="G29" s="57" t="n"/>
      <c r="H29" s="57" t="n"/>
      <c r="I29" s="57" t="n"/>
      <c r="J29" s="57" t="n"/>
      <c r="K29" s="57">
        <f>CONCATENATE(D29,L29)</f>
        <v/>
      </c>
      <c r="L29" s="57">
        <f>IF(OR(ISBLANK(F29),ISBLANK(H29)),IF(OR(D29="ALI",D29="AIE"),"L",IF(ISBLANK(D29),"","A")),IF(D29="EE",IF(H29&gt;=3,IF(F29&gt;=5,"H","A"),IF(H29&gt;=2,IF(F29&gt;=16,"H",IF(F29&lt;=4,"L","A")),IF(F29&lt;=15,"L","A"))),IF(OR(D29="SE",D29="CE"),IF(H29&gt;=4,IF(F29&gt;=6,"H","A"),IF(H29&gt;=2,IF(F29&gt;=20,"H",IF(F29&lt;=5,"L","A")),IF(F29&lt;=19,"L","A"))),IF(OR(D29="ALI",D29="AIE"),IF(H29&gt;=6,IF(F29&gt;=20,"H","A"),IF(H29&gt;=2,IF(F29&gt;=51,"H",IF(F29&lt;=19,"L","A")),IF(F29&lt;=50,"L","A")))))))</f>
        <v/>
      </c>
      <c r="M29" s="58">
        <f>IF(L29="L","Baixa",IF(L29="A","Média",IF(L29="","","Alta")))</f>
        <v/>
      </c>
      <c r="N29" s="59">
        <f>IF(ISBLANK(D29),"",IF(D29="ALI",IF(L29="L",7,IF(L29="A",10,15)),IF(D29="AIE",IF(L29="L",5,IF(L29="A",7,10)),IF(D29="SE",IF(L29="L",4,IF(L29="A",5,7)),IF(OR(D29="EE",D29="CE"),IF(L29="L",3,IF(L29="A",4,6)))))))</f>
        <v/>
      </c>
      <c r="O29" s="59">
        <f>IF(E29&lt;&gt;"",VLOOKUP(E29,$P180:$Q211,2,FALSE),"-")</f>
        <v/>
      </c>
      <c r="P29" s="50">
        <f>IF(OR(E29="Manutenção Interface",E29="Paginas Estáticas"),J29*O29,
IF(OR(D29="",E29=""),"",
N29*O29))</f>
        <v/>
      </c>
      <c r="Q29" s="50" t="n"/>
      <c r="S29" s="69">
        <f>IF(OR(M29="Baixa",E29="Manutenção Interface",E29="Paginas Estáticas"),1,0)</f>
        <v/>
      </c>
      <c r="T29" s="69">
        <f>IF(OR(M29="Média",M29="Alta"),1,0)</f>
        <v/>
      </c>
    </row>
    <row r="30" ht="16.5" customHeight="1" s="30">
      <c r="B30" s="105" t="n"/>
      <c r="C30" s="101" t="n"/>
      <c r="D30" s="19" t="n"/>
      <c r="E30" s="57" t="n"/>
      <c r="F30" s="57" t="n"/>
      <c r="G30" s="57" t="n"/>
      <c r="H30" s="57" t="n"/>
      <c r="I30" s="57" t="n"/>
      <c r="J30" s="57" t="n"/>
      <c r="K30" s="57">
        <f>CONCATENATE(D30,L30)</f>
        <v/>
      </c>
      <c r="L30" s="57">
        <f>IF(OR(ISBLANK(F30),ISBLANK(H30)),IF(OR(D30="ALI",D30="AIE"),"L",IF(ISBLANK(D30),"","A")),IF(D30="EE",IF(H30&gt;=3,IF(F30&gt;=5,"H","A"),IF(H30&gt;=2,IF(F30&gt;=16,"H",IF(F30&lt;=4,"L","A")),IF(F30&lt;=15,"L","A"))),IF(OR(D30="SE",D30="CE"),IF(H30&gt;=4,IF(F30&gt;=6,"H","A"),IF(H30&gt;=2,IF(F30&gt;=20,"H",IF(F30&lt;=5,"L","A")),IF(F30&lt;=19,"L","A"))),IF(OR(D30="ALI",D30="AIE"),IF(H30&gt;=6,IF(F30&gt;=20,"H","A"),IF(H30&gt;=2,IF(F30&gt;=51,"H",IF(F30&lt;=19,"L","A")),IF(F30&lt;=50,"L","A")))))))</f>
        <v/>
      </c>
      <c r="M30" s="58">
        <f>IF(L30="L","Baixa",IF(L30="A","Média",IF(L30="","","Alta")))</f>
        <v/>
      </c>
      <c r="N30" s="59">
        <f>IF(ISBLANK(D30),"",IF(D30="ALI",IF(L30="L",7,IF(L30="A",10,15)),IF(D30="AIE",IF(L30="L",5,IF(L30="A",7,10)),IF(D30="SE",IF(L30="L",4,IF(L30="A",5,7)),IF(OR(D30="EE",D30="CE"),IF(L30="L",3,IF(L30="A",4,6)))))))</f>
        <v/>
      </c>
      <c r="O30" s="59">
        <f>IF(E30&lt;&gt;"",VLOOKUP(E30,$P180:$Q211,2,FALSE),"-")</f>
        <v/>
      </c>
      <c r="P30" s="50">
        <f>IF(OR(E30="Manutenção Interface",E30="Paginas Estáticas"),J30*O30,
IF(OR(D30="",E30=""),"",
N30*O30))</f>
        <v/>
      </c>
      <c r="Q30" s="50" t="n"/>
      <c r="S30" s="69">
        <f>IF(OR(M30="Baixa",E30="Manutenção Interface",E30="Paginas Estáticas"),1,0)</f>
        <v/>
      </c>
      <c r="T30" s="69">
        <f>IF(OR(M30="Média",M30="Alta"),1,0)</f>
        <v/>
      </c>
    </row>
    <row r="31" ht="16.5" customHeight="1" s="30">
      <c r="B31" s="105" t="n"/>
      <c r="C31" s="101" t="n"/>
      <c r="D31" s="19" t="n"/>
      <c r="E31" s="57" t="n"/>
      <c r="F31" s="57" t="n"/>
      <c r="G31" s="57" t="n"/>
      <c r="H31" s="57" t="n"/>
      <c r="I31" s="57" t="n"/>
      <c r="J31" s="57" t="n"/>
      <c r="K31" s="57">
        <f>CONCATENATE(D31,L31)</f>
        <v/>
      </c>
      <c r="L31" s="57">
        <f>IF(OR(ISBLANK(F31),ISBLANK(H31)),IF(OR(D31="ALI",D31="AIE"),"L",IF(ISBLANK(D31),"","A")),IF(D31="EE",IF(H31&gt;=3,IF(F31&gt;=5,"H","A"),IF(H31&gt;=2,IF(F31&gt;=16,"H",IF(F31&lt;=4,"L","A")),IF(F31&lt;=15,"L","A"))),IF(OR(D31="SE",D31="CE"),IF(H31&gt;=4,IF(F31&gt;=6,"H","A"),IF(H31&gt;=2,IF(F31&gt;=20,"H",IF(F31&lt;=5,"L","A")),IF(F31&lt;=19,"L","A"))),IF(OR(D31="ALI",D31="AIE"),IF(H31&gt;=6,IF(F31&gt;=20,"H","A"),IF(H31&gt;=2,IF(F31&gt;=51,"H",IF(F31&lt;=19,"L","A")),IF(F31&lt;=50,"L","A")))))))</f>
        <v/>
      </c>
      <c r="M31" s="58">
        <f>IF(L31="L","Baixa",IF(L31="A","Média",IF(L31="","","Alta")))</f>
        <v/>
      </c>
      <c r="N31" s="59">
        <f>IF(ISBLANK(D31),"",IF(D31="ALI",IF(L31="L",7,IF(L31="A",10,15)),IF(D31="AIE",IF(L31="L",5,IF(L31="A",7,10)),IF(D31="SE",IF(L31="L",4,IF(L31="A",5,7)),IF(OR(D31="EE",D31="CE"),IF(L31="L",3,IF(L31="A",4,6)))))))</f>
        <v/>
      </c>
      <c r="O31" s="59">
        <f>IF(E31&lt;&gt;"",VLOOKUP(E31,$P180:$Q211,2,FALSE),"-")</f>
        <v/>
      </c>
      <c r="P31" s="50">
        <f>IF(OR(E31="Manutenção Interface",E31="Paginas Estáticas"),J31*O31,
IF(OR(D31="",E31=""),"",
N31*O31))</f>
        <v/>
      </c>
      <c r="Q31" s="21" t="n"/>
      <c r="S31" s="69">
        <f>IF(OR(M31="Baixa",E31="Manutenção Interface",E31="Paginas Estáticas"),1,0)</f>
        <v/>
      </c>
      <c r="T31" s="69">
        <f>IF(OR(M31="Média",M31="Alta"),1,0)</f>
        <v/>
      </c>
    </row>
    <row r="32" ht="16.5" customHeight="1" s="30">
      <c r="B32" s="105" t="n"/>
      <c r="C32" s="101" t="n"/>
      <c r="D32" s="19" t="n"/>
      <c r="E32" s="57" t="n"/>
      <c r="F32" s="57" t="n"/>
      <c r="G32" s="57" t="n"/>
      <c r="H32" s="57" t="n"/>
      <c r="I32" s="57" t="n"/>
      <c r="J32" s="57" t="n"/>
      <c r="K32" s="57">
        <f>CONCATENATE(D32,L32)</f>
        <v/>
      </c>
      <c r="L32" s="57">
        <f>IF(OR(ISBLANK(F32),ISBLANK(H32)),IF(OR(D32="ALI",D32="AIE"),"L",IF(ISBLANK(D32),"","A")),IF(D32="EE",IF(H32&gt;=3,IF(F32&gt;=5,"H","A"),IF(H32&gt;=2,IF(F32&gt;=16,"H",IF(F32&lt;=4,"L","A")),IF(F32&lt;=15,"L","A"))),IF(OR(D32="SE",D32="CE"),IF(H32&gt;=4,IF(F32&gt;=6,"H","A"),IF(H32&gt;=2,IF(F32&gt;=20,"H",IF(F32&lt;=5,"L","A")),IF(F32&lt;=19,"L","A"))),IF(OR(D32="ALI",D32="AIE"),IF(H32&gt;=6,IF(F32&gt;=20,"H","A"),IF(H32&gt;=2,IF(F32&gt;=51,"H",IF(F32&lt;=19,"L","A")),IF(F32&lt;=50,"L","A")))))))</f>
        <v/>
      </c>
      <c r="M32" s="58">
        <f>IF(L32="L","Baixa",IF(L32="A","Média",IF(L32="","","Alta")))</f>
        <v/>
      </c>
      <c r="N32" s="59">
        <f>IF(ISBLANK(D32),"",IF(D32="ALI",IF(L32="L",7,IF(L32="A",10,15)),IF(D32="AIE",IF(L32="L",5,IF(L32="A",7,10)),IF(D32="SE",IF(L32="L",4,IF(L32="A",5,7)),IF(OR(D32="EE",D32="CE"),IF(L32="L",3,IF(L32="A",4,6)))))))</f>
        <v/>
      </c>
      <c r="O32" s="59">
        <f>IF(E32&lt;&gt;"",VLOOKUP(E32,$P180:$Q211,2,FALSE),"-")</f>
        <v/>
      </c>
      <c r="P32" s="50">
        <f>IF(OR(E32="Manutenção Interface",E32="Paginas Estáticas"),J32*O32,
IF(OR(D32="",E32=""),"",
N32*O32))</f>
        <v/>
      </c>
      <c r="Q32" s="21" t="n"/>
      <c r="S32" s="69">
        <f>IF(OR(M32="Baixa",E32="Manutenção Interface",E32="Paginas Estáticas"),1,0)</f>
        <v/>
      </c>
      <c r="T32" s="69">
        <f>IF(OR(M32="Média",M32="Alta"),1,0)</f>
        <v/>
      </c>
    </row>
    <row r="33" ht="16.5" customHeight="1" s="30">
      <c r="B33" s="105" t="n"/>
      <c r="C33" s="101" t="n"/>
      <c r="D33" s="19" t="n"/>
      <c r="E33" s="57" t="n"/>
      <c r="F33" s="57" t="n"/>
      <c r="G33" s="57" t="n"/>
      <c r="H33" s="57" t="n"/>
      <c r="I33" s="57" t="n"/>
      <c r="J33" s="57" t="n"/>
      <c r="K33" s="57">
        <f>CONCATENATE(D33,L33)</f>
        <v/>
      </c>
      <c r="L33" s="57">
        <f>IF(OR(ISBLANK(F33),ISBLANK(H33)),IF(OR(D33="ALI",D33="AIE"),"L",IF(ISBLANK(D33),"","A")),IF(D33="EE",IF(H33&gt;=3,IF(F33&gt;=5,"H","A"),IF(H33&gt;=2,IF(F33&gt;=16,"H",IF(F33&lt;=4,"L","A")),IF(F33&lt;=15,"L","A"))),IF(OR(D33="SE",D33="CE"),IF(H33&gt;=4,IF(F33&gt;=6,"H","A"),IF(H33&gt;=2,IF(F33&gt;=20,"H",IF(F33&lt;=5,"L","A")),IF(F33&lt;=19,"L","A"))),IF(OR(D33="ALI",D33="AIE"),IF(H33&gt;=6,IF(F33&gt;=20,"H","A"),IF(H33&gt;=2,IF(F33&gt;=51,"H",IF(F33&lt;=19,"L","A")),IF(F33&lt;=50,"L","A")))))))</f>
        <v/>
      </c>
      <c r="M33" s="58">
        <f>IF(L33="L","Baixa",IF(L33="A","Média",IF(L33="","","Alta")))</f>
        <v/>
      </c>
      <c r="N33" s="59">
        <f>IF(ISBLANK(D33),"",IF(D33="ALI",IF(L33="L",7,IF(L33="A",10,15)),IF(D33="AIE",IF(L33="L",5,IF(L33="A",7,10)),IF(D33="SE",IF(L33="L",4,IF(L33="A",5,7)),IF(OR(D33="EE",D33="CE"),IF(L33="L",3,IF(L33="A",4,6)))))))</f>
        <v/>
      </c>
      <c r="O33" s="59">
        <f>IF(E33&lt;&gt;"",VLOOKUP(E33,$P180:$Q211,2,FALSE),"-")</f>
        <v/>
      </c>
      <c r="P33" s="50">
        <f>IF(OR(E33="Manutenção Interface",E33="Paginas Estáticas"),J33*O33,
IF(OR(D33="",E33=""),"",
N33*O33))</f>
        <v/>
      </c>
      <c r="Q33" s="21" t="n"/>
      <c r="S33" s="69">
        <f>IF(OR(M33="Baixa",E33="Manutenção Interface",E33="Paginas Estáticas"),1,0)</f>
        <v/>
      </c>
      <c r="T33" s="69">
        <f>IF(OR(M33="Média",M33="Alta"),1,0)</f>
        <v/>
      </c>
    </row>
    <row r="34" ht="16.5" customHeight="1" s="30">
      <c r="B34" s="105" t="n"/>
      <c r="C34" s="101" t="n"/>
      <c r="D34" s="19" t="n"/>
      <c r="E34" s="57" t="n"/>
      <c r="F34" s="57" t="n"/>
      <c r="G34" s="57" t="n"/>
      <c r="H34" s="57" t="n"/>
      <c r="I34" s="57" t="n"/>
      <c r="J34" s="57" t="n"/>
      <c r="K34" s="57">
        <f>CONCATENATE(D34,L34)</f>
        <v/>
      </c>
      <c r="L34" s="57">
        <f>IF(OR(ISBLANK(F34),ISBLANK(H34)),IF(OR(D34="ALI",D34="AIE"),"L",IF(ISBLANK(D34),"","A")),IF(D34="EE",IF(H34&gt;=3,IF(F34&gt;=5,"H","A"),IF(H34&gt;=2,IF(F34&gt;=16,"H",IF(F34&lt;=4,"L","A")),IF(F34&lt;=15,"L","A"))),IF(OR(D34="SE",D34="CE"),IF(H34&gt;=4,IF(F34&gt;=6,"H","A"),IF(H34&gt;=2,IF(F34&gt;=20,"H",IF(F34&lt;=5,"L","A")),IF(F34&lt;=19,"L","A"))),IF(OR(D34="ALI",D34="AIE"),IF(H34&gt;=6,IF(F34&gt;=20,"H","A"),IF(H34&gt;=2,IF(F34&gt;=51,"H",IF(F34&lt;=19,"L","A")),IF(F34&lt;=50,"L","A")))))))</f>
        <v/>
      </c>
      <c r="M34" s="58">
        <f>IF(L34="L","Baixa",IF(L34="A","Média",IF(L34="","","Alta")))</f>
        <v/>
      </c>
      <c r="N34" s="59">
        <f>IF(ISBLANK(D34),"",IF(D34="ALI",IF(L34="L",7,IF(L34="A",10,15)),IF(D34="AIE",IF(L34="L",5,IF(L34="A",7,10)),IF(D34="SE",IF(L34="L",4,IF(L34="A",5,7)),IF(OR(D34="EE",D34="CE"),IF(L34="L",3,IF(L34="A",4,6)))))))</f>
        <v/>
      </c>
      <c r="O34" s="59">
        <f>IF(E34&lt;&gt;"",VLOOKUP(E34,$P180:$Q211,2,FALSE),"-")</f>
        <v/>
      </c>
      <c r="P34" s="50">
        <f>IF(OR(E34="Manutenção Interface",E34="Paginas Estáticas"),J34*O34,
IF(OR(D34="",E34=""),"",
N34*O34))</f>
        <v/>
      </c>
      <c r="Q34" s="21" t="n"/>
      <c r="S34" s="69">
        <f>IF(OR(M34="Baixa",E34="Manutenção Interface",E34="Paginas Estáticas"),1,0)</f>
        <v/>
      </c>
      <c r="T34" s="69">
        <f>IF(OR(M34="Média",M34="Alta"),1,0)</f>
        <v/>
      </c>
    </row>
    <row r="35" ht="16.5" customHeight="1" s="30">
      <c r="B35" s="105" t="n"/>
      <c r="C35" s="101" t="n"/>
      <c r="D35" s="19" t="n"/>
      <c r="E35" s="57" t="n"/>
      <c r="F35" s="57" t="n"/>
      <c r="G35" s="57" t="n"/>
      <c r="H35" s="57" t="n"/>
      <c r="I35" s="57" t="n"/>
      <c r="J35" s="57" t="n"/>
      <c r="K35" s="57">
        <f>CONCATENATE(D35,L35)</f>
        <v/>
      </c>
      <c r="L35" s="57">
        <f>IF(OR(ISBLANK(F35),ISBLANK(H35)),IF(OR(D35="ALI",D35="AIE"),"L",IF(ISBLANK(D35),"","A")),IF(D35="EE",IF(H35&gt;=3,IF(F35&gt;=5,"H","A"),IF(H35&gt;=2,IF(F35&gt;=16,"H",IF(F35&lt;=4,"L","A")),IF(F35&lt;=15,"L","A"))),IF(OR(D35="SE",D35="CE"),IF(H35&gt;=4,IF(F35&gt;=6,"H","A"),IF(H35&gt;=2,IF(F35&gt;=20,"H",IF(F35&lt;=5,"L","A")),IF(F35&lt;=19,"L","A"))),IF(OR(D35="ALI",D35="AIE"),IF(H35&gt;=6,IF(F35&gt;=20,"H","A"),IF(H35&gt;=2,IF(F35&gt;=51,"H",IF(F35&lt;=19,"L","A")),IF(F35&lt;=50,"L","A")))))))</f>
        <v/>
      </c>
      <c r="M35" s="58">
        <f>IF(L35="L","Baixa",IF(L35="A","Média",IF(L35="","","Alta")))</f>
        <v/>
      </c>
      <c r="N35" s="59">
        <f>IF(ISBLANK(D35),"",IF(D35="ALI",IF(L35="L",7,IF(L35="A",10,15)),IF(D35="AIE",IF(L35="L",5,IF(L35="A",7,10)),IF(D35="SE",IF(L35="L",4,IF(L35="A",5,7)),IF(OR(D35="EE",D35="CE"),IF(L35="L",3,IF(L35="A",4,6)))))))</f>
        <v/>
      </c>
      <c r="O35" s="59">
        <f>IF(E35&lt;&gt;"",VLOOKUP(E35,$P180:$Q211,2,FALSE),"-")</f>
        <v/>
      </c>
      <c r="P35" s="50">
        <f>IF(OR(E35="Manutenção Interface",E35="Paginas Estáticas"),J35*O35,
IF(OR(D35="",E35=""),"",
N35*O35))</f>
        <v/>
      </c>
      <c r="Q35" s="21" t="n"/>
      <c r="S35" s="69">
        <f>IF(OR(M35="Baixa",E35="Manutenção Interface",E35="Paginas Estáticas"),1,0)</f>
        <v/>
      </c>
      <c r="T35" s="69">
        <f>IF(OR(M35="Média",M35="Alta"),1,0)</f>
        <v/>
      </c>
    </row>
    <row r="36" ht="16.5" customHeight="1" s="30">
      <c r="B36" s="105" t="n"/>
      <c r="C36" s="101" t="n"/>
      <c r="D36" s="19" t="n"/>
      <c r="E36" s="57" t="n"/>
      <c r="F36" s="57" t="n"/>
      <c r="G36" s="57" t="n"/>
      <c r="H36" s="57" t="n"/>
      <c r="I36" s="57" t="n"/>
      <c r="J36" s="57" t="n"/>
      <c r="K36" s="57">
        <f>CONCATENATE(D36,L36)</f>
        <v/>
      </c>
      <c r="L36" s="57">
        <f>IF(OR(ISBLANK(F36),ISBLANK(H36)),IF(OR(D36="ALI",D36="AIE"),"L",IF(ISBLANK(D36),"","A")),IF(D36="EE",IF(H36&gt;=3,IF(F36&gt;=5,"H","A"),IF(H36&gt;=2,IF(F36&gt;=16,"H",IF(F36&lt;=4,"L","A")),IF(F36&lt;=15,"L","A"))),IF(OR(D36="SE",D36="CE"),IF(H36&gt;=4,IF(F36&gt;=6,"H","A"),IF(H36&gt;=2,IF(F36&gt;=20,"H",IF(F36&lt;=5,"L","A")),IF(F36&lt;=19,"L","A"))),IF(OR(D36="ALI",D36="AIE"),IF(H36&gt;=6,IF(F36&gt;=20,"H","A"),IF(H36&gt;=2,IF(F36&gt;=51,"H",IF(F36&lt;=19,"L","A")),IF(F36&lt;=50,"L","A")))))))</f>
        <v/>
      </c>
      <c r="M36" s="58">
        <f>IF(L36="L","Baixa",IF(L36="A","Média",IF(L36="","","Alta")))</f>
        <v/>
      </c>
      <c r="N36" s="59">
        <f>IF(ISBLANK(D36),"",IF(D36="ALI",IF(L36="L",7,IF(L36="A",10,15)),IF(D36="AIE",IF(L36="L",5,IF(L36="A",7,10)),IF(D36="SE",IF(L36="L",4,IF(L36="A",5,7)),IF(OR(D36="EE",D36="CE"),IF(L36="L",3,IF(L36="A",4,6)))))))</f>
        <v/>
      </c>
      <c r="O36" s="59">
        <f>IF(E36&lt;&gt;"",VLOOKUP(E36,$P180:$Q211,2,FALSE),"-")</f>
        <v/>
      </c>
      <c r="P36" s="50">
        <f>IF(OR(E36="Manutenção Interface",E36="Paginas Estáticas"),J36*O36,
IF(OR(D36="",E36=""),"",
N36*O36))</f>
        <v/>
      </c>
      <c r="Q36" s="21" t="n"/>
      <c r="S36" s="69">
        <f>IF(OR(M36="Baixa",E36="Manutenção Interface",E36="Paginas Estáticas"),1,0)</f>
        <v/>
      </c>
      <c r="T36" s="69">
        <f>IF(OR(M36="Média",M36="Alta"),1,0)</f>
        <v/>
      </c>
    </row>
    <row r="37" ht="16.5" customHeight="1" s="30">
      <c r="B37" s="105" t="n"/>
      <c r="C37" s="101" t="n"/>
      <c r="D37" s="19" t="n"/>
      <c r="E37" s="57" t="n"/>
      <c r="F37" s="57" t="n"/>
      <c r="G37" s="57" t="n"/>
      <c r="H37" s="57" t="n"/>
      <c r="I37" s="57" t="n"/>
      <c r="J37" s="57" t="n"/>
      <c r="K37" s="57">
        <f>CONCATENATE(D37,L37)</f>
        <v/>
      </c>
      <c r="L37" s="57">
        <f>IF(OR(ISBLANK(F37),ISBLANK(H37)),IF(OR(D37="ALI",D37="AIE"),"L",IF(ISBLANK(D37),"","A")),IF(D37="EE",IF(H37&gt;=3,IF(F37&gt;=5,"H","A"),IF(H37&gt;=2,IF(F37&gt;=16,"H",IF(F37&lt;=4,"L","A")),IF(F37&lt;=15,"L","A"))),IF(OR(D37="SE",D37="CE"),IF(H37&gt;=4,IF(F37&gt;=6,"H","A"),IF(H37&gt;=2,IF(F37&gt;=20,"H",IF(F37&lt;=5,"L","A")),IF(F37&lt;=19,"L","A"))),IF(OR(D37="ALI",D37="AIE"),IF(H37&gt;=6,IF(F37&gt;=20,"H","A"),IF(H37&gt;=2,IF(F37&gt;=51,"H",IF(F37&lt;=19,"L","A")),IF(F37&lt;=50,"L","A")))))))</f>
        <v/>
      </c>
      <c r="M37" s="58">
        <f>IF(L37="L","Baixa",IF(L37="A","Média",IF(L37="","","Alta")))</f>
        <v/>
      </c>
      <c r="N37" s="59">
        <f>IF(ISBLANK(D37),"",IF(D37="ALI",IF(L37="L",7,IF(L37="A",10,15)),IF(D37="AIE",IF(L37="L",5,IF(L37="A",7,10)),IF(D37="SE",IF(L37="L",4,IF(L37="A",5,7)),IF(OR(D37="EE",D37="CE"),IF(L37="L",3,IF(L37="A",4,6)))))))</f>
        <v/>
      </c>
      <c r="O37" s="59">
        <f>IF(E37&lt;&gt;"",VLOOKUP(E37,$P180:$Q211,2,FALSE),"-")</f>
        <v/>
      </c>
      <c r="P37" s="50">
        <f>IF(OR(E37="Manutenção Interface",E37="Paginas Estáticas"),J37*O37,
IF(OR(D37="",E37=""),"",
N37*O37))</f>
        <v/>
      </c>
      <c r="Q37" s="21" t="n"/>
      <c r="S37" s="69">
        <f>IF(OR(M37="Baixa",E37="Manutenção Interface",E37="Paginas Estáticas"),1,0)</f>
        <v/>
      </c>
      <c r="T37" s="69">
        <f>IF(OR(M37="Média",M37="Alta"),1,0)</f>
        <v/>
      </c>
    </row>
    <row r="38" ht="16.5" customHeight="1" s="30">
      <c r="B38" s="105" t="n"/>
      <c r="C38" s="101" t="n"/>
      <c r="D38" s="19" t="n"/>
      <c r="E38" s="57" t="n"/>
      <c r="F38" s="57" t="n"/>
      <c r="G38" s="57" t="n"/>
      <c r="H38" s="57" t="n"/>
      <c r="I38" s="57" t="n"/>
      <c r="J38" s="57" t="n"/>
      <c r="K38" s="57">
        <f>CONCATENATE(D38,L38)</f>
        <v/>
      </c>
      <c r="L38" s="57">
        <f>IF(OR(ISBLANK(F38),ISBLANK(H38)),IF(OR(D38="ALI",D38="AIE"),"L",IF(ISBLANK(D38),"","A")),IF(D38="EE",IF(H38&gt;=3,IF(F38&gt;=5,"H","A"),IF(H38&gt;=2,IF(F38&gt;=16,"H",IF(F38&lt;=4,"L","A")),IF(F38&lt;=15,"L","A"))),IF(OR(D38="SE",D38="CE"),IF(H38&gt;=4,IF(F38&gt;=6,"H","A"),IF(H38&gt;=2,IF(F38&gt;=20,"H",IF(F38&lt;=5,"L","A")),IF(F38&lt;=19,"L","A"))),IF(OR(D38="ALI",D38="AIE"),IF(H38&gt;=6,IF(F38&gt;=20,"H","A"),IF(H38&gt;=2,IF(F38&gt;=51,"H",IF(F38&lt;=19,"L","A")),IF(F38&lt;=50,"L","A")))))))</f>
        <v/>
      </c>
      <c r="M38" s="58">
        <f>IF(L38="L","Baixa",IF(L38="A","Média",IF(L38="","","Alta")))</f>
        <v/>
      </c>
      <c r="N38" s="59">
        <f>IF(ISBLANK(D38),"",IF(D38="ALI",IF(L38="L",7,IF(L38="A",10,15)),IF(D38="AIE",IF(L38="L",5,IF(L38="A",7,10)),IF(D38="SE",IF(L38="L",4,IF(L38="A",5,7)),IF(OR(D38="EE",D38="CE"),IF(L38="L",3,IF(L38="A",4,6)))))))</f>
        <v/>
      </c>
      <c r="O38" s="59">
        <f>IF(E38&lt;&gt;"",VLOOKUP(E38,$P180:$Q211,2,FALSE),"-")</f>
        <v/>
      </c>
      <c r="P38" s="50">
        <f>IF(OR(E38="Manutenção Interface",E38="Paginas Estáticas"),J38*O38,
IF(OR(D38="",E38=""),"",
N38*O38))</f>
        <v/>
      </c>
      <c r="Q38" s="21" t="n"/>
      <c r="S38" s="69">
        <f>IF(OR(M38="Baixa",E38="Manutenção Interface",E38="Paginas Estáticas"),1,0)</f>
        <v/>
      </c>
      <c r="T38" s="69">
        <f>IF(OR(M38="Média",M38="Alta"),1,0)</f>
        <v/>
      </c>
    </row>
    <row r="39" ht="16.5" customHeight="1" s="30">
      <c r="B39" s="105" t="n"/>
      <c r="C39" s="101" t="n"/>
      <c r="D39" s="19" t="n"/>
      <c r="E39" s="57" t="n"/>
      <c r="F39" s="57" t="n"/>
      <c r="G39" s="57" t="n"/>
      <c r="H39" s="57" t="n"/>
      <c r="I39" s="57" t="n"/>
      <c r="J39" s="57" t="n"/>
      <c r="K39" s="57">
        <f>CONCATENATE(D39,L39)</f>
        <v/>
      </c>
      <c r="L39" s="57">
        <f>IF(OR(ISBLANK(F39),ISBLANK(H39)),IF(OR(D39="ALI",D39="AIE"),"L",IF(ISBLANK(D39),"","A")),IF(D39="EE",IF(H39&gt;=3,IF(F39&gt;=5,"H","A"),IF(H39&gt;=2,IF(F39&gt;=16,"H",IF(F39&lt;=4,"L","A")),IF(F39&lt;=15,"L","A"))),IF(OR(D39="SE",D39="CE"),IF(H39&gt;=4,IF(F39&gt;=6,"H","A"),IF(H39&gt;=2,IF(F39&gt;=20,"H",IF(F39&lt;=5,"L","A")),IF(F39&lt;=19,"L","A"))),IF(OR(D39="ALI",D39="AIE"),IF(H39&gt;=6,IF(F39&gt;=20,"H","A"),IF(H39&gt;=2,IF(F39&gt;=51,"H",IF(F39&lt;=19,"L","A")),IF(F39&lt;=50,"L","A")))))))</f>
        <v/>
      </c>
      <c r="M39" s="58">
        <f>IF(L39="L","Baixa",IF(L39="A","Média",IF(L39="","","Alta")))</f>
        <v/>
      </c>
      <c r="N39" s="59">
        <f>IF(ISBLANK(D39),"",IF(D39="ALI",IF(L39="L",7,IF(L39="A",10,15)),IF(D39="AIE",IF(L39="L",5,IF(L39="A",7,10)),IF(D39="SE",IF(L39="L",4,IF(L39="A",5,7)),IF(OR(D39="EE",D39="CE"),IF(L39="L",3,IF(L39="A",4,6)))))))</f>
        <v/>
      </c>
      <c r="O39" s="59">
        <f>IF(E39&lt;&gt;"",VLOOKUP(E39,$P180:$Q211,2,FALSE),"-")</f>
        <v/>
      </c>
      <c r="P39" s="50">
        <f>IF(OR(E39="Manutenção Interface",E39="Paginas Estáticas"),J39*O39,
IF(OR(D39="",E39=""),"",
N39*O39))</f>
        <v/>
      </c>
      <c r="Q39" s="21" t="n"/>
      <c r="S39" s="69">
        <f>IF(OR(M39="Baixa",E39="Manutenção Interface",E39="Paginas Estáticas"),1,0)</f>
        <v/>
      </c>
      <c r="T39" s="69">
        <f>IF(OR(M39="Média",M39="Alta"),1,0)</f>
        <v/>
      </c>
    </row>
    <row r="40" ht="16.5" customHeight="1" s="30">
      <c r="B40" s="105" t="n"/>
      <c r="C40" s="101" t="n"/>
      <c r="D40" s="19" t="n"/>
      <c r="E40" s="57" t="n"/>
      <c r="F40" s="57" t="n"/>
      <c r="G40" s="57" t="n"/>
      <c r="H40" s="57" t="n"/>
      <c r="I40" s="57" t="n"/>
      <c r="J40" s="57" t="n"/>
      <c r="K40" s="57">
        <f>CONCATENATE(D40,L40)</f>
        <v/>
      </c>
      <c r="L40" s="57">
        <f>IF(OR(ISBLANK(F40),ISBLANK(H40)),IF(OR(D40="ALI",D40="AIE"),"L",IF(ISBLANK(D40),"","A")),IF(D40="EE",IF(H40&gt;=3,IF(F40&gt;=5,"H","A"),IF(H40&gt;=2,IF(F40&gt;=16,"H",IF(F40&lt;=4,"L","A")),IF(F40&lt;=15,"L","A"))),IF(OR(D40="SE",D40="CE"),IF(H40&gt;=4,IF(F40&gt;=6,"H","A"),IF(H40&gt;=2,IF(F40&gt;=20,"H",IF(F40&lt;=5,"L","A")),IF(F40&lt;=19,"L","A"))),IF(OR(D40="ALI",D40="AIE"),IF(H40&gt;=6,IF(F40&gt;=20,"H","A"),IF(H40&gt;=2,IF(F40&gt;=51,"H",IF(F40&lt;=19,"L","A")),IF(F40&lt;=50,"L","A")))))))</f>
        <v/>
      </c>
      <c r="M40" s="58">
        <f>IF(L40="L","Baixa",IF(L40="A","Média",IF(L40="","","Alta")))</f>
        <v/>
      </c>
      <c r="N40" s="59">
        <f>IF(ISBLANK(D40),"",IF(D40="ALI",IF(L40="L",7,IF(L40="A",10,15)),IF(D40="AIE",IF(L40="L",5,IF(L40="A",7,10)),IF(D40="SE",IF(L40="L",4,IF(L40="A",5,7)),IF(OR(D40="EE",D40="CE"),IF(L40="L",3,IF(L40="A",4,6)))))))</f>
        <v/>
      </c>
      <c r="O40" s="59">
        <f>IF(E40&lt;&gt;"",VLOOKUP(E40,$P180:$Q211,2,FALSE),"-")</f>
        <v/>
      </c>
      <c r="P40" s="50">
        <f>IF(OR(E40="Manutenção Interface",E40="Paginas Estáticas"),J40*O40,
IF(OR(D40="",E40=""),"",
N40*O40))</f>
        <v/>
      </c>
      <c r="Q40" s="21" t="n"/>
      <c r="S40" s="69">
        <f>IF(OR(M40="Baixa",E40="Manutenção Interface",E40="Paginas Estáticas"),1,0)</f>
        <v/>
      </c>
      <c r="T40" s="69">
        <f>IF(OR(M40="Média",M40="Alta"),1,0)</f>
        <v/>
      </c>
    </row>
    <row r="41" ht="16.5" customHeight="1" s="30">
      <c r="B41" s="105" t="n"/>
      <c r="C41" s="101" t="n"/>
      <c r="D41" s="19" t="n"/>
      <c r="E41" s="57" t="n"/>
      <c r="F41" s="57" t="n"/>
      <c r="G41" s="57" t="n"/>
      <c r="H41" s="57" t="n"/>
      <c r="I41" s="57" t="n"/>
      <c r="J41" s="57" t="n"/>
      <c r="K41" s="57">
        <f>CONCATENATE(D41,L41)</f>
        <v/>
      </c>
      <c r="L41" s="57">
        <f>IF(OR(ISBLANK(F41),ISBLANK(H41)),IF(OR(D41="ALI",D41="AIE"),"L",IF(ISBLANK(D41),"","A")),IF(D41="EE",IF(H41&gt;=3,IF(F41&gt;=5,"H","A"),IF(H41&gt;=2,IF(F41&gt;=16,"H",IF(F41&lt;=4,"L","A")),IF(F41&lt;=15,"L","A"))),IF(OR(D41="SE",D41="CE"),IF(H41&gt;=4,IF(F41&gt;=6,"H","A"),IF(H41&gt;=2,IF(F41&gt;=20,"H",IF(F41&lt;=5,"L","A")),IF(F41&lt;=19,"L","A"))),IF(OR(D41="ALI",D41="AIE"),IF(H41&gt;=6,IF(F41&gt;=20,"H","A"),IF(H41&gt;=2,IF(F41&gt;=51,"H",IF(F41&lt;=19,"L","A")),IF(F41&lt;=50,"L","A")))))))</f>
        <v/>
      </c>
      <c r="M41" s="58">
        <f>IF(L41="L","Baixa",IF(L41="A","Média",IF(L41="","","Alta")))</f>
        <v/>
      </c>
      <c r="N41" s="59">
        <f>IF(ISBLANK(D41),"",IF(D41="ALI",IF(L41="L",7,IF(L41="A",10,15)),IF(D41="AIE",IF(L41="L",5,IF(L41="A",7,10)),IF(D41="SE",IF(L41="L",4,IF(L41="A",5,7)),IF(OR(D41="EE",D41="CE"),IF(L41="L",3,IF(L41="A",4,6)))))))</f>
        <v/>
      </c>
      <c r="O41" s="59">
        <f>IF(E41&lt;&gt;"",VLOOKUP(E41,$P180:$Q211,2,FALSE),"-")</f>
        <v/>
      </c>
      <c r="P41" s="50">
        <f>IF(OR(E41="Manutenção Interface",E41="Paginas Estáticas"),J41*O41,
IF(OR(D41="",E41=""),"",
N41*O41))</f>
        <v/>
      </c>
      <c r="Q41" s="21" t="n"/>
      <c r="S41" s="69">
        <f>IF(OR(M41="Baixa",E41="Manutenção Interface",E41="Paginas Estáticas"),1,0)</f>
        <v/>
      </c>
      <c r="T41" s="69">
        <f>IF(OR(M41="Média",M41="Alta"),1,0)</f>
        <v/>
      </c>
    </row>
    <row r="42" ht="16.5" customHeight="1" s="30">
      <c r="B42" s="105" t="n"/>
      <c r="C42" s="101" t="n"/>
      <c r="D42" s="19" t="n"/>
      <c r="E42" s="57" t="n"/>
      <c r="F42" s="57" t="n"/>
      <c r="G42" s="57" t="n"/>
      <c r="H42" s="57" t="n"/>
      <c r="I42" s="57" t="n"/>
      <c r="J42" s="57" t="n"/>
      <c r="K42" s="57">
        <f>CONCATENATE(D42,L42)</f>
        <v/>
      </c>
      <c r="L42" s="57">
        <f>IF(OR(ISBLANK(F42),ISBLANK(H42)),IF(OR(D42="ALI",D42="AIE"),"L",IF(ISBLANK(D42),"","A")),IF(D42="EE",IF(H42&gt;=3,IF(F42&gt;=5,"H","A"),IF(H42&gt;=2,IF(F42&gt;=16,"H",IF(F42&lt;=4,"L","A")),IF(F42&lt;=15,"L","A"))),IF(OR(D42="SE",D42="CE"),IF(H42&gt;=4,IF(F42&gt;=6,"H","A"),IF(H42&gt;=2,IF(F42&gt;=20,"H",IF(F42&lt;=5,"L","A")),IF(F42&lt;=19,"L","A"))),IF(OR(D42="ALI",D42="AIE"),IF(H42&gt;=6,IF(F42&gt;=20,"H","A"),IF(H42&gt;=2,IF(F42&gt;=51,"H",IF(F42&lt;=19,"L","A")),IF(F42&lt;=50,"L","A")))))))</f>
        <v/>
      </c>
      <c r="M42" s="58">
        <f>IF(L42="L","Baixa",IF(L42="A","Média",IF(L42="","","Alta")))</f>
        <v/>
      </c>
      <c r="N42" s="59">
        <f>IF(ISBLANK(D42),"",IF(D42="ALI",IF(L42="L",7,IF(L42="A",10,15)),IF(D42="AIE",IF(L42="L",5,IF(L42="A",7,10)),IF(D42="SE",IF(L42="L",4,IF(L42="A",5,7)),IF(OR(D42="EE",D42="CE"),IF(L42="L",3,IF(L42="A",4,6)))))))</f>
        <v/>
      </c>
      <c r="O42" s="59">
        <f>IF(E42&lt;&gt;"",VLOOKUP(E42,$P180:$Q211,2,FALSE),"-")</f>
        <v/>
      </c>
      <c r="P42" s="50">
        <f>IF(OR(E42="Manutenção Interface",E42="Paginas Estáticas"),J42*O42,
IF(OR(D42="",E42=""),"",
N42*O42))</f>
        <v/>
      </c>
      <c r="Q42" s="21" t="n"/>
      <c r="S42" s="69">
        <f>IF(OR(M42="Baixa",E42="Manutenção Interface",E42="Paginas Estáticas"),1,0)</f>
        <v/>
      </c>
      <c r="T42" s="69">
        <f>IF(OR(M42="Média",M42="Alta"),1,0)</f>
        <v/>
      </c>
    </row>
    <row r="43" ht="16.5" customHeight="1" s="30">
      <c r="B43" s="105" t="n"/>
      <c r="C43" s="101" t="n"/>
      <c r="D43" s="19" t="n"/>
      <c r="E43" s="57" t="n"/>
      <c r="F43" s="57" t="n"/>
      <c r="G43" s="57" t="n"/>
      <c r="H43" s="57" t="n"/>
      <c r="I43" s="57" t="n"/>
      <c r="J43" s="57" t="n"/>
      <c r="K43" s="57">
        <f>CONCATENATE(D43,L43)</f>
        <v/>
      </c>
      <c r="L43" s="57">
        <f>IF(OR(ISBLANK(F43),ISBLANK(H43)),IF(OR(D43="ALI",D43="AIE"),"L",IF(ISBLANK(D43),"","A")),IF(D43="EE",IF(H43&gt;=3,IF(F43&gt;=5,"H","A"),IF(H43&gt;=2,IF(F43&gt;=16,"H",IF(F43&lt;=4,"L","A")),IF(F43&lt;=15,"L","A"))),IF(OR(D43="SE",D43="CE"),IF(H43&gt;=4,IF(F43&gt;=6,"H","A"),IF(H43&gt;=2,IF(F43&gt;=20,"H",IF(F43&lt;=5,"L","A")),IF(F43&lt;=19,"L","A"))),IF(OR(D43="ALI",D43="AIE"),IF(H43&gt;=6,IF(F43&gt;=20,"H","A"),IF(H43&gt;=2,IF(F43&gt;=51,"H",IF(F43&lt;=19,"L","A")),IF(F43&lt;=50,"L","A")))))))</f>
        <v/>
      </c>
      <c r="M43" s="58">
        <f>IF(L43="L","Baixa",IF(L43="A","Média",IF(L43="","","Alta")))</f>
        <v/>
      </c>
      <c r="N43" s="59">
        <f>IF(ISBLANK(D43),"",IF(D43="ALI",IF(L43="L",7,IF(L43="A",10,15)),IF(D43="AIE",IF(L43="L",5,IF(L43="A",7,10)),IF(D43="SE",IF(L43="L",4,IF(L43="A",5,7)),IF(OR(D43="EE",D43="CE"),IF(L43="L",3,IF(L43="A",4,6)))))))</f>
        <v/>
      </c>
      <c r="O43" s="59">
        <f>IF(E43&lt;&gt;"",VLOOKUP(E43,$P180:$Q211,2,FALSE),"-")</f>
        <v/>
      </c>
      <c r="P43" s="50">
        <f>IF(OR(E43="Manutenção Interface",E43="Paginas Estáticas"),J43*O43,
IF(OR(D43="",E43=""),"",
N43*O43))</f>
        <v/>
      </c>
      <c r="Q43" s="21" t="n"/>
      <c r="S43" s="69">
        <f>IF(OR(M43="Baixa",E43="Manutenção Interface",E43="Paginas Estáticas"),1,0)</f>
        <v/>
      </c>
      <c r="T43" s="69">
        <f>IF(OR(M43="Média",M43="Alta"),1,0)</f>
        <v/>
      </c>
    </row>
    <row r="44" ht="16.5" customHeight="1" s="30">
      <c r="B44" s="105" t="n"/>
      <c r="C44" s="101" t="n"/>
      <c r="D44" s="19" t="n"/>
      <c r="E44" s="57" t="n"/>
      <c r="F44" s="57" t="n"/>
      <c r="G44" s="57" t="n"/>
      <c r="H44" s="57" t="n"/>
      <c r="I44" s="57" t="n"/>
      <c r="J44" s="57" t="n"/>
      <c r="K44" s="57">
        <f>CONCATENATE(D44,L44)</f>
        <v/>
      </c>
      <c r="L44" s="57">
        <f>IF(OR(ISBLANK(F44),ISBLANK(H44)),IF(OR(D44="ALI",D44="AIE"),"L",IF(ISBLANK(D44),"","A")),IF(D44="EE",IF(H44&gt;=3,IF(F44&gt;=5,"H","A"),IF(H44&gt;=2,IF(F44&gt;=16,"H",IF(F44&lt;=4,"L","A")),IF(F44&lt;=15,"L","A"))),IF(OR(D44="SE",D44="CE"),IF(H44&gt;=4,IF(F44&gt;=6,"H","A"),IF(H44&gt;=2,IF(F44&gt;=20,"H",IF(F44&lt;=5,"L","A")),IF(F44&lt;=19,"L","A"))),IF(OR(D44="ALI",D44="AIE"),IF(H44&gt;=6,IF(F44&gt;=20,"H","A"),IF(H44&gt;=2,IF(F44&gt;=51,"H",IF(F44&lt;=19,"L","A")),IF(F44&lt;=50,"L","A")))))))</f>
        <v/>
      </c>
      <c r="M44" s="58">
        <f>IF(L44="L","Baixa",IF(L44="A","Média",IF(L44="","","Alta")))</f>
        <v/>
      </c>
      <c r="N44" s="59">
        <f>IF(ISBLANK(D44),"",IF(D44="ALI",IF(L44="L",7,IF(L44="A",10,15)),IF(D44="AIE",IF(L44="L",5,IF(L44="A",7,10)),IF(D44="SE",IF(L44="L",4,IF(L44="A",5,7)),IF(OR(D44="EE",D44="CE"),IF(L44="L",3,IF(L44="A",4,6)))))))</f>
        <v/>
      </c>
      <c r="O44" s="59">
        <f>IF(E44&lt;&gt;"",VLOOKUP(E44,$P180:$Q211,2,FALSE),"-")</f>
        <v/>
      </c>
      <c r="P44" s="50">
        <f>IF(OR(E44="Manutenção Interface",E44="Paginas Estáticas"),J44*O44,
IF(OR(D44="",E44=""),"",
N44*O44))</f>
        <v/>
      </c>
      <c r="Q44" s="21" t="n"/>
      <c r="S44" s="69">
        <f>IF(OR(M44="Baixa",E44="Manutenção Interface",E44="Paginas Estáticas"),1,0)</f>
        <v/>
      </c>
      <c r="T44" s="69">
        <f>IF(OR(M44="Média",M44="Alta"),1,0)</f>
        <v/>
      </c>
    </row>
    <row r="45" ht="16.5" customHeight="1" s="30">
      <c r="B45" s="105" t="n"/>
      <c r="C45" s="101" t="n"/>
      <c r="D45" s="19" t="n"/>
      <c r="E45" s="57" t="n"/>
      <c r="F45" s="57" t="n"/>
      <c r="G45" s="57" t="n"/>
      <c r="H45" s="57" t="n"/>
      <c r="I45" s="57" t="n"/>
      <c r="J45" s="57" t="n"/>
      <c r="K45" s="57">
        <f>CONCATENATE(D45,L45)</f>
        <v/>
      </c>
      <c r="L45" s="57">
        <f>IF(OR(ISBLANK(F45),ISBLANK(H45)),IF(OR(D45="ALI",D45="AIE"),"L",IF(ISBLANK(D45),"","A")),IF(D45="EE",IF(H45&gt;=3,IF(F45&gt;=5,"H","A"),IF(H45&gt;=2,IF(F45&gt;=16,"H",IF(F45&lt;=4,"L","A")),IF(F45&lt;=15,"L","A"))),IF(OR(D45="SE",D45="CE"),IF(H45&gt;=4,IF(F45&gt;=6,"H","A"),IF(H45&gt;=2,IF(F45&gt;=20,"H",IF(F45&lt;=5,"L","A")),IF(F45&lt;=19,"L","A"))),IF(OR(D45="ALI",D45="AIE"),IF(H45&gt;=6,IF(F45&gt;=20,"H","A"),IF(H45&gt;=2,IF(F45&gt;=51,"H",IF(F45&lt;=19,"L","A")),IF(F45&lt;=50,"L","A")))))))</f>
        <v/>
      </c>
      <c r="M45" s="58">
        <f>IF(L45="L","Baixa",IF(L45="A","Média",IF(L45="","","Alta")))</f>
        <v/>
      </c>
      <c r="N45" s="59">
        <f>IF(ISBLANK(D45),"",IF(D45="ALI",IF(L45="L",7,IF(L45="A",10,15)),IF(D45="AIE",IF(L45="L",5,IF(L45="A",7,10)),IF(D45="SE",IF(L45="L",4,IF(L45="A",5,7)),IF(OR(D45="EE",D45="CE"),IF(L45="L",3,IF(L45="A",4,6)))))))</f>
        <v/>
      </c>
      <c r="O45" s="59">
        <f>IF(E45&lt;&gt;"",VLOOKUP(E45,$P180:$Q211,2,FALSE),"-")</f>
        <v/>
      </c>
      <c r="P45" s="50">
        <f>IF(OR(E45="Manutenção Interface",E45="Paginas Estáticas"),J45*O45,
IF(OR(D45="",E45=""),"",
N45*O45))</f>
        <v/>
      </c>
      <c r="Q45" s="21" t="n"/>
      <c r="S45" s="69">
        <f>IF(OR(M45="Baixa",E45="Manutenção Interface",E45="Paginas Estáticas"),1,0)</f>
        <v/>
      </c>
      <c r="T45" s="69">
        <f>IF(OR(M45="Média",M45="Alta"),1,0)</f>
        <v/>
      </c>
    </row>
    <row r="46" ht="16.5" customHeight="1" s="30">
      <c r="B46" s="105" t="n"/>
      <c r="C46" s="101" t="n"/>
      <c r="D46" s="19" t="n"/>
      <c r="E46" s="57" t="n"/>
      <c r="F46" s="57" t="n"/>
      <c r="G46" s="57" t="n"/>
      <c r="H46" s="57" t="n"/>
      <c r="I46" s="57" t="n"/>
      <c r="J46" s="57" t="n"/>
      <c r="K46" s="57">
        <f>CONCATENATE(D46,L46)</f>
        <v/>
      </c>
      <c r="L46" s="57">
        <f>IF(OR(ISBLANK(F46),ISBLANK(H46)),IF(OR(D46="ALI",D46="AIE"),"L",IF(ISBLANK(D46),"","A")),IF(D46="EE",IF(H46&gt;=3,IF(F46&gt;=5,"H","A"),IF(H46&gt;=2,IF(F46&gt;=16,"H",IF(F46&lt;=4,"L","A")),IF(F46&lt;=15,"L","A"))),IF(OR(D46="SE",D46="CE"),IF(H46&gt;=4,IF(F46&gt;=6,"H","A"),IF(H46&gt;=2,IF(F46&gt;=20,"H",IF(F46&lt;=5,"L","A")),IF(F46&lt;=19,"L","A"))),IF(OR(D46="ALI",D46="AIE"),IF(H46&gt;=6,IF(F46&gt;=20,"H","A"),IF(H46&gt;=2,IF(F46&gt;=51,"H",IF(F46&lt;=19,"L","A")),IF(F46&lt;=50,"L","A")))))))</f>
        <v/>
      </c>
      <c r="M46" s="58">
        <f>IF(L46="L","Baixa",IF(L46="A","Média",IF(L46="","","Alta")))</f>
        <v/>
      </c>
      <c r="N46" s="59">
        <f>IF(ISBLANK(D46),"",IF(D46="ALI",IF(L46="L",7,IF(L46="A",10,15)),IF(D46="AIE",IF(L46="L",5,IF(L46="A",7,10)),IF(D46="SE",IF(L46="L",4,IF(L46="A",5,7)),IF(OR(D46="EE",D46="CE"),IF(L46="L",3,IF(L46="A",4,6)))))))</f>
        <v/>
      </c>
      <c r="O46" s="59">
        <f>IF(E46&lt;&gt;"",VLOOKUP(E46,$P180:$Q211,2,FALSE),"-")</f>
        <v/>
      </c>
      <c r="P46" s="50">
        <f>IF(OR(E46="Manutenção Interface",E46="Paginas Estáticas"),J46*O46,
IF(OR(D46="",E46=""),"",
N46*O46))</f>
        <v/>
      </c>
      <c r="Q46" s="21" t="n"/>
      <c r="S46" s="69">
        <f>IF(OR(M46="Baixa",E46="Manutenção Interface",E46="Paginas Estáticas"),1,0)</f>
        <v/>
      </c>
      <c r="T46" s="69">
        <f>IF(OR(M46="Média",M46="Alta"),1,0)</f>
        <v/>
      </c>
    </row>
    <row r="47" ht="16.5" customHeight="1" s="30">
      <c r="B47" s="105" t="n"/>
      <c r="C47" s="101" t="n"/>
      <c r="D47" s="19" t="n"/>
      <c r="E47" s="57" t="n"/>
      <c r="F47" s="57" t="n"/>
      <c r="G47" s="57" t="n"/>
      <c r="H47" s="57" t="n"/>
      <c r="I47" s="57" t="n"/>
      <c r="J47" s="57" t="n"/>
      <c r="K47" s="57">
        <f>CONCATENATE(D47,L47)</f>
        <v/>
      </c>
      <c r="L47" s="57">
        <f>IF(OR(ISBLANK(F47),ISBLANK(H47)),IF(OR(D47="ALI",D47="AIE"),"L",IF(ISBLANK(D47),"","A")),IF(D47="EE",IF(H47&gt;=3,IF(F47&gt;=5,"H","A"),IF(H47&gt;=2,IF(F47&gt;=16,"H",IF(F47&lt;=4,"L","A")),IF(F47&lt;=15,"L","A"))),IF(OR(D47="SE",D47="CE"),IF(H47&gt;=4,IF(F47&gt;=6,"H","A"),IF(H47&gt;=2,IF(F47&gt;=20,"H",IF(F47&lt;=5,"L","A")),IF(F47&lt;=19,"L","A"))),IF(OR(D47="ALI",D47="AIE"),IF(H47&gt;=6,IF(F47&gt;=20,"H","A"),IF(H47&gt;=2,IF(F47&gt;=51,"H",IF(F47&lt;=19,"L","A")),IF(F47&lt;=50,"L","A")))))))</f>
        <v/>
      </c>
      <c r="M47" s="20">
        <f>IF(L47="L","Baixa",IF(L47="A","Média",IF(L47="","","Alta")))</f>
        <v/>
      </c>
      <c r="N47" s="21">
        <f>IF(ISBLANK(D47),"",IF(D47="ALI",IF(L47="L",7,IF(L47="A",10,15)),IF(D47="AIE",IF(L47="L",5,IF(L47="A",7,10)),IF(D47="SE",IF(L47="L",4,IF(L47="A",5,7)),IF(OR(D47="EE",D47="CE"),IF(L47="L",3,IF(L47="A",4,6)))))))</f>
        <v/>
      </c>
      <c r="O47" s="59">
        <f>IF(E47&lt;&gt;"",VLOOKUP(E47,$P180:$Q211,2,FALSE),"-")</f>
        <v/>
      </c>
      <c r="P47" s="50">
        <f>IF(OR(E47="Manutenção Interface",E47="Paginas Estáticas"),J47*O47,
IF(OR(D47="",E47=""),"",
N47*O47))</f>
        <v/>
      </c>
      <c r="Q47" s="21" t="n"/>
      <c r="S47" s="69">
        <f>IF(OR(M47="Baixa",E47="Manutenção Interface",E47="Paginas Estáticas"),1,0)</f>
        <v/>
      </c>
      <c r="T47" s="69">
        <f>IF(OR(M47="Média",M47="Alta"),1,0)</f>
        <v/>
      </c>
    </row>
    <row r="48" ht="16.5" customHeight="1" s="30">
      <c r="B48" s="105" t="n"/>
      <c r="C48" s="101" t="n"/>
      <c r="D48" s="19" t="n"/>
      <c r="E48" s="57" t="n"/>
      <c r="F48" s="57" t="n"/>
      <c r="G48" s="57" t="n"/>
      <c r="H48" s="57" t="n"/>
      <c r="I48" s="57" t="n"/>
      <c r="J48" s="57" t="n"/>
      <c r="K48" s="57">
        <f>CONCATENATE(D48,L48)</f>
        <v/>
      </c>
      <c r="L48" s="57">
        <f>IF(OR(ISBLANK(F48),ISBLANK(H48)),IF(OR(D48="ALI",D48="AIE"),"L",IF(ISBLANK(D48),"","A")),IF(D48="EE",IF(H48&gt;=3,IF(F48&gt;=5,"H","A"),IF(H48&gt;=2,IF(F48&gt;=16,"H",IF(F48&lt;=4,"L","A")),IF(F48&lt;=15,"L","A"))),IF(OR(D48="SE",D48="CE"),IF(H48&gt;=4,IF(F48&gt;=6,"H","A"),IF(H48&gt;=2,IF(F48&gt;=20,"H",IF(F48&lt;=5,"L","A")),IF(F48&lt;=19,"L","A"))),IF(OR(D48="ALI",D48="AIE"),IF(H48&gt;=6,IF(F48&gt;=20,"H","A"),IF(H48&gt;=2,IF(F48&gt;=51,"H",IF(F48&lt;=19,"L","A")),IF(F48&lt;=50,"L","A")))))))</f>
        <v/>
      </c>
      <c r="M48" s="20">
        <f>IF(L48="L","Baixa",IF(L48="A","Média",IF(L48="","","Alta")))</f>
        <v/>
      </c>
      <c r="N48" s="21">
        <f>IF(ISBLANK(D48),"",IF(D48="ALI",IF(L48="L",7,IF(L48="A",10,15)),IF(D48="AIE",IF(L48="L",5,IF(L48="A",7,10)),IF(D48="SE",IF(L48="L",4,IF(L48="A",5,7)),IF(OR(D48="EE",D48="CE"),IF(L48="L",3,IF(L48="A",4,6)))))))</f>
        <v/>
      </c>
      <c r="O48" s="59">
        <f>IF(E48&lt;&gt;"",VLOOKUP(E48,$P180:$Q211,2,FALSE),"-")</f>
        <v/>
      </c>
      <c r="P48" s="50">
        <f>IF(OR(E48="Manutenção Interface",E48="Paginas Estáticas"),J48*O48,
IF(OR(D48="",E48=""),"",
N48*O48))</f>
        <v/>
      </c>
      <c r="Q48" s="21" t="n"/>
      <c r="S48" s="69">
        <f>IF(OR(M48="Baixa",E48="Manutenção Interface",E48="Paginas Estáticas"),1,0)</f>
        <v/>
      </c>
      <c r="T48" s="69">
        <f>IF(OR(M48="Média",M48="Alta"),1,0)</f>
        <v/>
      </c>
    </row>
    <row r="49" ht="16.5" customHeight="1" s="30">
      <c r="B49" s="105" t="n"/>
      <c r="C49" s="101" t="n"/>
      <c r="D49" s="19" t="n"/>
      <c r="E49" s="57" t="n"/>
      <c r="F49" s="57" t="n"/>
      <c r="G49" s="57" t="n"/>
      <c r="H49" s="57" t="n"/>
      <c r="I49" s="57" t="n"/>
      <c r="J49" s="57" t="n"/>
      <c r="K49" s="57">
        <f>CONCATENATE(D49,L49)</f>
        <v/>
      </c>
      <c r="L49" s="57">
        <f>IF(OR(ISBLANK(F49),ISBLANK(H49)),IF(OR(D49="ALI",D49="AIE"),"L",IF(ISBLANK(D49),"","A")),IF(D49="EE",IF(H49&gt;=3,IF(F49&gt;=5,"H","A"),IF(H49&gt;=2,IF(F49&gt;=16,"H",IF(F49&lt;=4,"L","A")),IF(F49&lt;=15,"L","A"))),IF(OR(D49="SE",D49="CE"),IF(H49&gt;=4,IF(F49&gt;=6,"H","A"),IF(H49&gt;=2,IF(F49&gt;=20,"H",IF(F49&lt;=5,"L","A")),IF(F49&lt;=19,"L","A"))),IF(OR(D49="ALI",D49="AIE"),IF(H49&gt;=6,IF(F49&gt;=20,"H","A"),IF(H49&gt;=2,IF(F49&gt;=51,"H",IF(F49&lt;=19,"L","A")),IF(F49&lt;=50,"L","A")))))))</f>
        <v/>
      </c>
      <c r="M49" s="20">
        <f>IF(L49="L","Baixa",IF(L49="A","Média",IF(L49="","","Alta")))</f>
        <v/>
      </c>
      <c r="N49" s="21">
        <f>IF(ISBLANK(D49),"",IF(D49="ALI",IF(L49="L",7,IF(L49="A",10,15)),IF(D49="AIE",IF(L49="L",5,IF(L49="A",7,10)),IF(D49="SE",IF(L49="L",4,IF(L49="A",5,7)),IF(OR(D49="EE",D49="CE"),IF(L49="L",3,IF(L49="A",4,6)))))))</f>
        <v/>
      </c>
      <c r="O49" s="59">
        <f>IF(E49&lt;&gt;"",VLOOKUP(E49,$P180:$Q211,2,FALSE),"-")</f>
        <v/>
      </c>
      <c r="P49" s="50">
        <f>IF(OR(E49="Manutenção Interface",E49="Paginas Estáticas"),J49*O49,
IF(OR(D49="",E49=""),"",
N49*O49))</f>
        <v/>
      </c>
      <c r="Q49" s="21" t="n"/>
      <c r="S49" s="69">
        <f>IF(OR(M49="Baixa",E49="Manutenção Interface",E49="Paginas Estáticas"),1,0)</f>
        <v/>
      </c>
      <c r="T49" s="69">
        <f>IF(OR(M49="Média",M49="Alta"),1,0)</f>
        <v/>
      </c>
    </row>
    <row r="50" ht="16.5" customHeight="1" s="30">
      <c r="B50" s="105" t="n"/>
      <c r="C50" s="101" t="n"/>
      <c r="D50" s="19" t="n"/>
      <c r="E50" s="57" t="n"/>
      <c r="F50" s="57" t="n"/>
      <c r="G50" s="57" t="n"/>
      <c r="H50" s="57" t="n"/>
      <c r="I50" s="57" t="n"/>
      <c r="J50" s="57" t="n"/>
      <c r="K50" s="57">
        <f>CONCATENATE(D50,L50)</f>
        <v/>
      </c>
      <c r="L50" s="57">
        <f>IF(OR(ISBLANK(F50),ISBLANK(H50)),IF(OR(D50="ALI",D50="AIE"),"L",IF(ISBLANK(D50),"","A")),IF(D50="EE",IF(H50&gt;=3,IF(F50&gt;=5,"H","A"),IF(H50&gt;=2,IF(F50&gt;=16,"H",IF(F50&lt;=4,"L","A")),IF(F50&lt;=15,"L","A"))),IF(OR(D50="SE",D50="CE"),IF(H50&gt;=4,IF(F50&gt;=6,"H","A"),IF(H50&gt;=2,IF(F50&gt;=20,"H",IF(F50&lt;=5,"L","A")),IF(F50&lt;=19,"L","A"))),IF(OR(D50="ALI",D50="AIE"),IF(H50&gt;=6,IF(F50&gt;=20,"H","A"),IF(H50&gt;=2,IF(F50&gt;=51,"H",IF(F50&lt;=19,"L","A")),IF(F50&lt;=50,"L","A")))))))</f>
        <v/>
      </c>
      <c r="M50" s="20">
        <f>IF(L50="L","Baixa",IF(L50="A","Média",IF(L50="","","Alta")))</f>
        <v/>
      </c>
      <c r="N50" s="21">
        <f>IF(ISBLANK(D50),"",IF(D50="ALI",IF(L50="L",7,IF(L50="A",10,15)),IF(D50="AIE",IF(L50="L",5,IF(L50="A",7,10)),IF(D50="SE",IF(L50="L",4,IF(L50="A",5,7)),IF(OR(D50="EE",D50="CE"),IF(L50="L",3,IF(L50="A",4,6)))))))</f>
        <v/>
      </c>
      <c r="O50" s="59">
        <f>IF(E50&lt;&gt;"",VLOOKUP(E50,$P180:$Q211,2,FALSE),"-")</f>
        <v/>
      </c>
      <c r="P50" s="50">
        <f>IF(OR(E50="Manutenção Interface",E50="Paginas Estáticas"),J50*O50,
IF(OR(D50="",E50=""),"",
N50*O50))</f>
        <v/>
      </c>
      <c r="Q50" s="21" t="n"/>
      <c r="S50" s="69">
        <f>IF(OR(M50="Baixa",E50="Manutenção Interface",E50="Paginas Estáticas"),1,0)</f>
        <v/>
      </c>
      <c r="T50" s="69">
        <f>IF(OR(M50="Média",M50="Alta"),1,0)</f>
        <v/>
      </c>
    </row>
    <row r="51" ht="16.5" customHeight="1" s="30">
      <c r="B51" s="105" t="n"/>
      <c r="C51" s="101" t="n"/>
      <c r="D51" s="19" t="n"/>
      <c r="E51" s="57" t="n"/>
      <c r="F51" s="57" t="n"/>
      <c r="G51" s="57" t="n"/>
      <c r="H51" s="57" t="n"/>
      <c r="I51" s="57" t="n"/>
      <c r="J51" s="57" t="n"/>
      <c r="K51" s="57">
        <f>CONCATENATE(D51,L51)</f>
        <v/>
      </c>
      <c r="L51" s="57">
        <f>IF(OR(ISBLANK(F51),ISBLANK(H51)),IF(OR(D51="ALI",D51="AIE"),"L",IF(ISBLANK(D51),"","A")),IF(D51="EE",IF(H51&gt;=3,IF(F51&gt;=5,"H","A"),IF(H51&gt;=2,IF(F51&gt;=16,"H",IF(F51&lt;=4,"L","A")),IF(F51&lt;=15,"L","A"))),IF(OR(D51="SE",D51="CE"),IF(H51&gt;=4,IF(F51&gt;=6,"H","A"),IF(H51&gt;=2,IF(F51&gt;=20,"H",IF(F51&lt;=5,"L","A")),IF(F51&lt;=19,"L","A"))),IF(OR(D51="ALI",D51="AIE"),IF(H51&gt;=6,IF(F51&gt;=20,"H","A"),IF(H51&gt;=2,IF(F51&gt;=51,"H",IF(F51&lt;=19,"L","A")),IF(F51&lt;=50,"L","A")))))))</f>
        <v/>
      </c>
      <c r="M51" s="20">
        <f>IF(L51="L","Baixa",IF(L51="A","Média",IF(L51="","","Alta")))</f>
        <v/>
      </c>
      <c r="N51" s="21">
        <f>IF(ISBLANK(D51),"",IF(D51="ALI",IF(L51="L",7,IF(L51="A",10,15)),IF(D51="AIE",IF(L51="L",5,IF(L51="A",7,10)),IF(D51="SE",IF(L51="L",4,IF(L51="A",5,7)),IF(OR(D51="EE",D51="CE"),IF(L51="L",3,IF(L51="A",4,6)))))))</f>
        <v/>
      </c>
      <c r="O51" s="59">
        <f>IF(E51&lt;&gt;"",VLOOKUP(E51,$P180:$Q211,2,FALSE),"-")</f>
        <v/>
      </c>
      <c r="P51" s="50">
        <f>IF(OR(E51="Manutenção Interface",E51="Paginas Estáticas"),J51*O51,
IF(OR(D51="",E51=""),"",
N51*O51))</f>
        <v/>
      </c>
      <c r="Q51" s="21" t="n"/>
      <c r="S51" s="69">
        <f>IF(OR(M51="Baixa",E51="Manutenção Interface",E51="Paginas Estáticas"),1,0)</f>
        <v/>
      </c>
      <c r="T51" s="69">
        <f>IF(OR(M51="Média",M51="Alta"),1,0)</f>
        <v/>
      </c>
    </row>
    <row r="52" ht="16.5" customHeight="1" s="30">
      <c r="B52" s="105" t="n"/>
      <c r="C52" s="101" t="n"/>
      <c r="D52" s="19" t="n"/>
      <c r="E52" s="57" t="n"/>
      <c r="F52" s="57" t="n"/>
      <c r="G52" s="57" t="n"/>
      <c r="H52" s="57" t="n"/>
      <c r="I52" s="57" t="n"/>
      <c r="J52" s="57" t="n"/>
      <c r="K52" s="57">
        <f>CONCATENATE(D52,L52)</f>
        <v/>
      </c>
      <c r="L52" s="57">
        <f>IF(OR(ISBLANK(F52),ISBLANK(H52)),IF(OR(D52="ALI",D52="AIE"),"L",IF(ISBLANK(D52),"","A")),IF(D52="EE",IF(H52&gt;=3,IF(F52&gt;=5,"H","A"),IF(H52&gt;=2,IF(F52&gt;=16,"H",IF(F52&lt;=4,"L","A")),IF(F52&lt;=15,"L","A"))),IF(OR(D52="SE",D52="CE"),IF(H52&gt;=4,IF(F52&gt;=6,"H","A"),IF(H52&gt;=2,IF(F52&gt;=20,"H",IF(F52&lt;=5,"L","A")),IF(F52&lt;=19,"L","A"))),IF(OR(D52="ALI",D52="AIE"),IF(H52&gt;=6,IF(F52&gt;=20,"H","A"),IF(H52&gt;=2,IF(F52&gt;=51,"H",IF(F52&lt;=19,"L","A")),IF(F52&lt;=50,"L","A")))))))</f>
        <v/>
      </c>
      <c r="M52" s="20">
        <f>IF(L52="L","Baixa",IF(L52="A","Média",IF(L52="","","Alta")))</f>
        <v/>
      </c>
      <c r="N52" s="21">
        <f>IF(ISBLANK(D52),"",IF(D52="ALI",IF(L52="L",7,IF(L52="A",10,15)),IF(D52="AIE",IF(L52="L",5,IF(L52="A",7,10)),IF(D52="SE",IF(L52="L",4,IF(L52="A",5,7)),IF(OR(D52="EE",D52="CE"),IF(L52="L",3,IF(L52="A",4,6)))))))</f>
        <v/>
      </c>
      <c r="O52" s="59">
        <f>IF(E52&lt;&gt;"",VLOOKUP(E52,$P180:$Q211,2,FALSE),"-")</f>
        <v/>
      </c>
      <c r="P52" s="50">
        <f>IF(OR(E52="Manutenção Interface",E52="Paginas Estáticas"),J52*O52,
IF(OR(D52="",E52=""),"",
N52*O52))</f>
        <v/>
      </c>
      <c r="Q52" s="21" t="n"/>
      <c r="S52" s="69">
        <f>IF(OR(M52="Baixa",E52="Manutenção Interface",E52="Paginas Estáticas"),1,0)</f>
        <v/>
      </c>
      <c r="T52" s="69">
        <f>IF(OR(M52="Média",M52="Alta"),1,0)</f>
        <v/>
      </c>
    </row>
    <row r="53" ht="16.5" customHeight="1" s="30">
      <c r="B53" s="105" t="n"/>
      <c r="C53" s="101" t="n"/>
      <c r="D53" s="19" t="n"/>
      <c r="E53" s="57" t="n"/>
      <c r="F53" s="57" t="n"/>
      <c r="G53" s="57" t="n"/>
      <c r="H53" s="57" t="n"/>
      <c r="I53" s="57" t="n"/>
      <c r="J53" s="57" t="n"/>
      <c r="K53" s="57">
        <f>CONCATENATE(D53,L53)</f>
        <v/>
      </c>
      <c r="L53" s="57">
        <f>IF(OR(ISBLANK(F53),ISBLANK(H53)),IF(OR(D53="ALI",D53="AIE"),"L",IF(ISBLANK(D53),"","A")),IF(D53="EE",IF(H53&gt;=3,IF(F53&gt;=5,"H","A"),IF(H53&gt;=2,IF(F53&gt;=16,"H",IF(F53&lt;=4,"L","A")),IF(F53&lt;=15,"L","A"))),IF(OR(D53="SE",D53="CE"),IF(H53&gt;=4,IF(F53&gt;=6,"H","A"),IF(H53&gt;=2,IF(F53&gt;=20,"H",IF(F53&lt;=5,"L","A")),IF(F53&lt;=19,"L","A"))),IF(OR(D53="ALI",D53="AIE"),IF(H53&gt;=6,IF(F53&gt;=20,"H","A"),IF(H53&gt;=2,IF(F53&gt;=51,"H",IF(F53&lt;=19,"L","A")),IF(F53&lt;=50,"L","A")))))))</f>
        <v/>
      </c>
      <c r="M53" s="20">
        <f>IF(L53="L","Baixa",IF(L53="A","Média",IF(L53="","","Alta")))</f>
        <v/>
      </c>
      <c r="N53" s="21">
        <f>IF(ISBLANK(D53),"",IF(D53="ALI",IF(L53="L",7,IF(L53="A",10,15)),IF(D53="AIE",IF(L53="L",5,IF(L53="A",7,10)),IF(D53="SE",IF(L53="L",4,IF(L53="A",5,7)),IF(OR(D53="EE",D53="CE"),IF(L53="L",3,IF(L53="A",4,6)))))))</f>
        <v/>
      </c>
      <c r="O53" s="59">
        <f>IF(E53&lt;&gt;"",VLOOKUP(E53,$P180:$Q211,2,FALSE),"-")</f>
        <v/>
      </c>
      <c r="P53" s="50">
        <f>IF(OR(E53="Manutenção Interface",E53="Paginas Estáticas"),J53*O53,
IF(OR(D53="",E53=""),"",
N53*O53))</f>
        <v/>
      </c>
      <c r="Q53" s="21" t="n"/>
      <c r="S53" s="69">
        <f>IF(OR(M53="Baixa",E53="Manutenção Interface",E53="Paginas Estáticas"),1,0)</f>
        <v/>
      </c>
      <c r="T53" s="69">
        <f>IF(OR(M53="Média",M53="Alta"),1,0)</f>
        <v/>
      </c>
    </row>
    <row r="54" ht="16.5" customHeight="1" s="30">
      <c r="B54" s="105" t="n"/>
      <c r="C54" s="101" t="n"/>
      <c r="D54" s="19" t="n"/>
      <c r="E54" s="57" t="n"/>
      <c r="F54" s="57" t="n"/>
      <c r="G54" s="57" t="n"/>
      <c r="H54" s="57" t="n"/>
      <c r="I54" s="57" t="n"/>
      <c r="J54" s="57" t="n"/>
      <c r="K54" s="57">
        <f>CONCATENATE(D54,L54)</f>
        <v/>
      </c>
      <c r="L54" s="57">
        <f>IF(OR(ISBLANK(F54),ISBLANK(H54)),IF(OR(D54="ALI",D54="AIE"),"L",IF(ISBLANK(D54),"","A")),IF(D54="EE",IF(H54&gt;=3,IF(F54&gt;=5,"H","A"),IF(H54&gt;=2,IF(F54&gt;=16,"H",IF(F54&lt;=4,"L","A")),IF(F54&lt;=15,"L","A"))),IF(OR(D54="SE",D54="CE"),IF(H54&gt;=4,IF(F54&gt;=6,"H","A"),IF(H54&gt;=2,IF(F54&gt;=20,"H",IF(F54&lt;=5,"L","A")),IF(F54&lt;=19,"L","A"))),IF(OR(D54="ALI",D54="AIE"),IF(H54&gt;=6,IF(F54&gt;=20,"H","A"),IF(H54&gt;=2,IF(F54&gt;=51,"H",IF(F54&lt;=19,"L","A")),IF(F54&lt;=50,"L","A")))))))</f>
        <v/>
      </c>
      <c r="M54" s="20">
        <f>IF(L54="L","Baixa",IF(L54="A","Média",IF(L54="","","Alta")))</f>
        <v/>
      </c>
      <c r="N54" s="21">
        <f>IF(ISBLANK(D54),"",IF(D54="ALI",IF(L54="L",7,IF(L54="A",10,15)),IF(D54="AIE",IF(L54="L",5,IF(L54="A",7,10)),IF(D54="SE",IF(L54="L",4,IF(L54="A",5,7)),IF(OR(D54="EE",D54="CE"),IF(L54="L",3,IF(L54="A",4,6)))))))</f>
        <v/>
      </c>
      <c r="O54" s="59">
        <f>IF(E54&lt;&gt;"",VLOOKUP(E54,$P180:$Q211,2,FALSE),"-")</f>
        <v/>
      </c>
      <c r="P54" s="50">
        <f>IF(OR(E54="Manutenção Interface",E54="Paginas Estáticas"),J54*O54,
IF(OR(D54="",E54=""),"",
N54*O54))</f>
        <v/>
      </c>
      <c r="Q54" s="21" t="n"/>
      <c r="S54" s="69">
        <f>IF(OR(M54="Baixa",E54="Manutenção Interface",E54="Paginas Estáticas"),1,0)</f>
        <v/>
      </c>
      <c r="T54" s="69">
        <f>IF(OR(M54="Média",M54="Alta"),1,0)</f>
        <v/>
      </c>
    </row>
    <row r="55" ht="16.5" customHeight="1" s="30">
      <c r="B55" s="105" t="n"/>
      <c r="C55" s="101" t="n"/>
      <c r="D55" s="19" t="n"/>
      <c r="E55" s="57" t="n"/>
      <c r="F55" s="57" t="n"/>
      <c r="G55" s="57" t="n"/>
      <c r="H55" s="57" t="n"/>
      <c r="I55" s="57" t="n"/>
      <c r="J55" s="57" t="n"/>
      <c r="K55" s="57">
        <f>CONCATENATE(D55,L55)</f>
        <v/>
      </c>
      <c r="L55" s="57">
        <f>IF(OR(ISBLANK(F55),ISBLANK(H55)),IF(OR(D55="ALI",D55="AIE"),"L",IF(ISBLANK(D55),"","A")),IF(D55="EE",IF(H55&gt;=3,IF(F55&gt;=5,"H","A"),IF(H55&gt;=2,IF(F55&gt;=16,"H",IF(F55&lt;=4,"L","A")),IF(F55&lt;=15,"L","A"))),IF(OR(D55="SE",D55="CE"),IF(H55&gt;=4,IF(F55&gt;=6,"H","A"),IF(H55&gt;=2,IF(F55&gt;=20,"H",IF(F55&lt;=5,"L","A")),IF(F55&lt;=19,"L","A"))),IF(OR(D55="ALI",D55="AIE"),IF(H55&gt;=6,IF(F55&gt;=20,"H","A"),IF(H55&gt;=2,IF(F55&gt;=51,"H",IF(F55&lt;=19,"L","A")),IF(F55&lt;=50,"L","A")))))))</f>
        <v/>
      </c>
      <c r="M55" s="20">
        <f>IF(L55="L","Baixa",IF(L55="A","Média",IF(L55="","","Alta")))</f>
        <v/>
      </c>
      <c r="N55" s="21">
        <f>IF(ISBLANK(D55),"",IF(D55="ALI",IF(L55="L",7,IF(L55="A",10,15)),IF(D55="AIE",IF(L55="L",5,IF(L55="A",7,10)),IF(D55="SE",IF(L55="L",4,IF(L55="A",5,7)),IF(OR(D55="EE",D55="CE"),IF(L55="L",3,IF(L55="A",4,6)))))))</f>
        <v/>
      </c>
      <c r="O55" s="59">
        <f>IF(E55&lt;&gt;"",VLOOKUP(E55,$P180:$Q211,2,FALSE),"-")</f>
        <v/>
      </c>
      <c r="P55" s="50">
        <f>IF(OR(E55="Manutenção Interface",E55="Paginas Estáticas"),J55*O55,
IF(OR(D55="",E55=""),"",
N55*O55))</f>
        <v/>
      </c>
      <c r="Q55" s="21" t="n"/>
      <c r="S55" s="69">
        <f>IF(OR(M55="Baixa",E55="Manutenção Interface",E55="Paginas Estáticas"),1,0)</f>
        <v/>
      </c>
      <c r="T55" s="69">
        <f>IF(OR(M55="Média",M55="Alta"),1,0)</f>
        <v/>
      </c>
    </row>
    <row r="56" ht="16.5" customHeight="1" s="30">
      <c r="B56" s="105" t="n"/>
      <c r="C56" s="101" t="n"/>
      <c r="D56" s="19" t="n"/>
      <c r="E56" s="57" t="n"/>
      <c r="F56" s="57" t="n"/>
      <c r="G56" s="57" t="n"/>
      <c r="H56" s="57" t="n"/>
      <c r="I56" s="57" t="n"/>
      <c r="J56" s="57" t="n"/>
      <c r="K56" s="57">
        <f>CONCATENATE(D56,L56)</f>
        <v/>
      </c>
      <c r="L56" s="57">
        <f>IF(OR(ISBLANK(F56),ISBLANK(H56)),IF(OR(D56="ALI",D56="AIE"),"L",IF(ISBLANK(D56),"","A")),IF(D56="EE",IF(H56&gt;=3,IF(F56&gt;=5,"H","A"),IF(H56&gt;=2,IF(F56&gt;=16,"H",IF(F56&lt;=4,"L","A")),IF(F56&lt;=15,"L","A"))),IF(OR(D56="SE",D56="CE"),IF(H56&gt;=4,IF(F56&gt;=6,"H","A"),IF(H56&gt;=2,IF(F56&gt;=20,"H",IF(F56&lt;=5,"L","A")),IF(F56&lt;=19,"L","A"))),IF(OR(D56="ALI",D56="AIE"),IF(H56&gt;=6,IF(F56&gt;=20,"H","A"),IF(H56&gt;=2,IF(F56&gt;=51,"H",IF(F56&lt;=19,"L","A")),IF(F56&lt;=50,"L","A")))))))</f>
        <v/>
      </c>
      <c r="M56" s="20">
        <f>IF(L56="L","Baixa",IF(L56="A","Média",IF(L56="","","Alta")))</f>
        <v/>
      </c>
      <c r="N56" s="21">
        <f>IF(ISBLANK(D56),"",IF(D56="ALI",IF(L56="L",7,IF(L56="A",10,15)),IF(D56="AIE",IF(L56="L",5,IF(L56="A",7,10)),IF(D56="SE",IF(L56="L",4,IF(L56="A",5,7)),IF(OR(D56="EE",D56="CE"),IF(L56="L",3,IF(L56="A",4,6)))))))</f>
        <v/>
      </c>
      <c r="O56" s="59">
        <f>IF(E56&lt;&gt;"",VLOOKUP(E56,$P180:$Q211,2,FALSE),"-")</f>
        <v/>
      </c>
      <c r="P56" s="50">
        <f>IF(OR(E56="Manutenção Interface",E56="Paginas Estáticas"),J56*O56,
IF(OR(D56="",E56=""),"",
N56*O56))</f>
        <v/>
      </c>
      <c r="Q56" s="21" t="n"/>
      <c r="S56" s="69">
        <f>IF(OR(M56="Baixa",E56="Manutenção Interface",E56="Paginas Estáticas"),1,0)</f>
        <v/>
      </c>
      <c r="T56" s="69">
        <f>IF(OR(M56="Média",M56="Alta"),1,0)</f>
        <v/>
      </c>
    </row>
    <row r="57" ht="16.5" customHeight="1" s="30">
      <c r="B57" s="105" t="n"/>
      <c r="C57" s="101" t="n"/>
      <c r="D57" s="19" t="n"/>
      <c r="E57" s="57" t="n"/>
      <c r="F57" s="57" t="n"/>
      <c r="G57" s="57" t="n"/>
      <c r="H57" s="57" t="n"/>
      <c r="I57" s="57" t="n"/>
      <c r="J57" s="57" t="n"/>
      <c r="K57" s="57">
        <f>CONCATENATE(D57,L57)</f>
        <v/>
      </c>
      <c r="L57" s="57">
        <f>IF(OR(ISBLANK(F57),ISBLANK(H57)),IF(OR(D57="ALI",D57="AIE"),"L",IF(ISBLANK(D57),"","A")),IF(D57="EE",IF(H57&gt;=3,IF(F57&gt;=5,"H","A"),IF(H57&gt;=2,IF(F57&gt;=16,"H",IF(F57&lt;=4,"L","A")),IF(F57&lt;=15,"L","A"))),IF(OR(D57="SE",D57="CE"),IF(H57&gt;=4,IF(F57&gt;=6,"H","A"),IF(H57&gt;=2,IF(F57&gt;=20,"H",IF(F57&lt;=5,"L","A")),IF(F57&lt;=19,"L","A"))),IF(OR(D57="ALI",D57="AIE"),IF(H57&gt;=6,IF(F57&gt;=20,"H","A"),IF(H57&gt;=2,IF(F57&gt;=51,"H",IF(F57&lt;=19,"L","A")),IF(F57&lt;=50,"L","A")))))))</f>
        <v/>
      </c>
      <c r="M57" s="20">
        <f>IF(L57="L","Baixa",IF(L57="A","Média",IF(L57="","","Alta")))</f>
        <v/>
      </c>
      <c r="N57" s="21">
        <f>IF(ISBLANK(D57),"",IF(D57="ALI",IF(L57="L",7,IF(L57="A",10,15)),IF(D57="AIE",IF(L57="L",5,IF(L57="A",7,10)),IF(D57="SE",IF(L57="L",4,IF(L57="A",5,7)),IF(OR(D57="EE",D57="CE"),IF(L57="L",3,IF(L57="A",4,6)))))))</f>
        <v/>
      </c>
      <c r="O57" s="59">
        <f>IF(E57&lt;&gt;"",VLOOKUP(E57,$P180:$Q211,2,FALSE),"-")</f>
        <v/>
      </c>
      <c r="P57" s="50">
        <f>IF(OR(E57="Manutenção Interface",E57="Paginas Estáticas"),J57*O57,
IF(OR(D57="",E57=""),"",
N57*O57))</f>
        <v/>
      </c>
      <c r="Q57" s="21" t="n"/>
      <c r="S57" s="69">
        <f>IF(OR(M57="Baixa",E57="Manutenção Interface",E57="Paginas Estáticas"),1,0)</f>
        <v/>
      </c>
      <c r="T57" s="69">
        <f>IF(OR(M57="Média",M57="Alta"),1,0)</f>
        <v/>
      </c>
    </row>
    <row r="58" ht="16.5" customHeight="1" s="30">
      <c r="B58" s="105" t="n"/>
      <c r="C58" s="101" t="n"/>
      <c r="D58" s="19" t="n"/>
      <c r="E58" s="57" t="n"/>
      <c r="F58" s="57" t="n"/>
      <c r="G58" s="57" t="n"/>
      <c r="H58" s="57" t="n"/>
      <c r="I58" s="57" t="n"/>
      <c r="J58" s="57" t="n"/>
      <c r="K58" s="57">
        <f>CONCATENATE(D58,L58)</f>
        <v/>
      </c>
      <c r="L58" s="57">
        <f>IF(OR(ISBLANK(F58),ISBLANK(H58)),IF(OR(D58="ALI",D58="AIE"),"L",IF(ISBLANK(D58),"","A")),IF(D58="EE",IF(H58&gt;=3,IF(F58&gt;=5,"H","A"),IF(H58&gt;=2,IF(F58&gt;=16,"H",IF(F58&lt;=4,"L","A")),IF(F58&lt;=15,"L","A"))),IF(OR(D58="SE",D58="CE"),IF(H58&gt;=4,IF(F58&gt;=6,"H","A"),IF(H58&gt;=2,IF(F58&gt;=20,"H",IF(F58&lt;=5,"L","A")),IF(F58&lt;=19,"L","A"))),IF(OR(D58="ALI",D58="AIE"),IF(H58&gt;=6,IF(F58&gt;=20,"H","A"),IF(H58&gt;=2,IF(F58&gt;=51,"H",IF(F58&lt;=19,"L","A")),IF(F58&lt;=50,"L","A")))))))</f>
        <v/>
      </c>
      <c r="M58" s="20">
        <f>IF(L58="L","Baixa",IF(L58="A","Média",IF(L58="","","Alta")))</f>
        <v/>
      </c>
      <c r="N58" s="21">
        <f>IF(ISBLANK(D58),"",IF(D58="ALI",IF(L58="L",7,IF(L58="A",10,15)),IF(D58="AIE",IF(L58="L",5,IF(L58="A",7,10)),IF(D58="SE",IF(L58="L",4,IF(L58="A",5,7)),IF(OR(D58="EE",D58="CE"),IF(L58="L",3,IF(L58="A",4,6)))))))</f>
        <v/>
      </c>
      <c r="O58" s="59">
        <f>IF(E58&lt;&gt;"",VLOOKUP(E58,$P180:$Q211,2,FALSE),"-")</f>
        <v/>
      </c>
      <c r="P58" s="50">
        <f>IF(OR(E58="Manutenção Interface",E58="Paginas Estáticas"),J58*O58,
IF(OR(D58="",E58=""),"",
N58*O58))</f>
        <v/>
      </c>
      <c r="Q58" s="21" t="n"/>
      <c r="S58" s="69">
        <f>IF(OR(M58="Baixa",E58="Manutenção Interface",E58="Paginas Estáticas"),1,0)</f>
        <v/>
      </c>
      <c r="T58" s="69">
        <f>IF(OR(M58="Média",M58="Alta"),1,0)</f>
        <v/>
      </c>
    </row>
    <row r="59" ht="16.5" customHeight="1" s="30">
      <c r="B59" s="105" t="n"/>
      <c r="C59" s="101" t="n"/>
      <c r="D59" s="19" t="n"/>
      <c r="E59" s="57" t="n"/>
      <c r="F59" s="57" t="n"/>
      <c r="G59" s="57" t="n"/>
      <c r="H59" s="57" t="n"/>
      <c r="I59" s="57" t="n"/>
      <c r="J59" s="57" t="n"/>
      <c r="K59" s="57">
        <f>CONCATENATE(D59,L59)</f>
        <v/>
      </c>
      <c r="L59" s="57">
        <f>IF(OR(ISBLANK(F59),ISBLANK(H59)),IF(OR(D59="ALI",D59="AIE"),"L",IF(ISBLANK(D59),"","A")),IF(D59="EE",IF(H59&gt;=3,IF(F59&gt;=5,"H","A"),IF(H59&gt;=2,IF(F59&gt;=16,"H",IF(F59&lt;=4,"L","A")),IF(F59&lt;=15,"L","A"))),IF(OR(D59="SE",D59="CE"),IF(H59&gt;=4,IF(F59&gt;=6,"H","A"),IF(H59&gt;=2,IF(F59&gt;=20,"H",IF(F59&lt;=5,"L","A")),IF(F59&lt;=19,"L","A"))),IF(OR(D59="ALI",D59="AIE"),IF(H59&gt;=6,IF(F59&gt;=20,"H","A"),IF(H59&gt;=2,IF(F59&gt;=51,"H",IF(F59&lt;=19,"L","A")),IF(F59&lt;=50,"L","A")))))))</f>
        <v/>
      </c>
      <c r="M59" s="20">
        <f>IF(L59="L","Baixa",IF(L59="A","Média",IF(L59="","","Alta")))</f>
        <v/>
      </c>
      <c r="N59" s="21">
        <f>IF(ISBLANK(D59),"",IF(D59="ALI",IF(L59="L",7,IF(L59="A",10,15)),IF(D59="AIE",IF(L59="L",5,IF(L59="A",7,10)),IF(D59="SE",IF(L59="L",4,IF(L59="A",5,7)),IF(OR(D59="EE",D59="CE"),IF(L59="L",3,IF(L59="A",4,6)))))))</f>
        <v/>
      </c>
      <c r="O59" s="59">
        <f>IF(E59&lt;&gt;"",VLOOKUP(E59,$P180:$Q211,2,FALSE),"-")</f>
        <v/>
      </c>
      <c r="P59" s="50">
        <f>IF(OR(E59="Manutenção Interface",E59="Paginas Estáticas"),J59*O59,
IF(OR(D59="",E59=""),"",
N59*O59))</f>
        <v/>
      </c>
      <c r="Q59" s="21" t="n"/>
      <c r="S59" s="69">
        <f>IF(OR(M59="Baixa",E59="Manutenção Interface",E59="Paginas Estáticas"),1,0)</f>
        <v/>
      </c>
      <c r="T59" s="69">
        <f>IF(OR(M59="Média",M59="Alta"),1,0)</f>
        <v/>
      </c>
    </row>
    <row r="60" ht="16.5" customHeight="1" s="30">
      <c r="B60" s="105" t="n"/>
      <c r="C60" s="101" t="n"/>
      <c r="D60" s="19" t="n"/>
      <c r="E60" s="57" t="n"/>
      <c r="F60" s="57" t="n"/>
      <c r="G60" s="57" t="n"/>
      <c r="H60" s="57" t="n"/>
      <c r="I60" s="57" t="n"/>
      <c r="J60" s="57" t="n"/>
      <c r="K60" s="57">
        <f>CONCATENATE(D60,L60)</f>
        <v/>
      </c>
      <c r="L60" s="57">
        <f>IF(OR(ISBLANK(F60),ISBLANK(H60)),IF(OR(D60="ALI",D60="AIE"),"L",IF(ISBLANK(D60),"","A")),IF(D60="EE",IF(H60&gt;=3,IF(F60&gt;=5,"H","A"),IF(H60&gt;=2,IF(F60&gt;=16,"H",IF(F60&lt;=4,"L","A")),IF(F60&lt;=15,"L","A"))),IF(OR(D60="SE",D60="CE"),IF(H60&gt;=4,IF(F60&gt;=6,"H","A"),IF(H60&gt;=2,IF(F60&gt;=20,"H",IF(F60&lt;=5,"L","A")),IF(F60&lt;=19,"L","A"))),IF(OR(D60="ALI",D60="AIE"),IF(H60&gt;=6,IF(F60&gt;=20,"H","A"),IF(H60&gt;=2,IF(F60&gt;=51,"H",IF(F60&lt;=19,"L","A")),IF(F60&lt;=50,"L","A")))))))</f>
        <v/>
      </c>
      <c r="M60" s="20">
        <f>IF(L60="L","Baixa",IF(L60="A","Média",IF(L60="","","Alta")))</f>
        <v/>
      </c>
      <c r="N60" s="21">
        <f>IF(ISBLANK(D60),"",IF(D60="ALI",IF(L60="L",7,IF(L60="A",10,15)),IF(D60="AIE",IF(L60="L",5,IF(L60="A",7,10)),IF(D60="SE",IF(L60="L",4,IF(L60="A",5,7)),IF(OR(D60="EE",D60="CE"),IF(L60="L",3,IF(L60="A",4,6)))))))</f>
        <v/>
      </c>
      <c r="O60" s="59">
        <f>IF(E60&lt;&gt;"",VLOOKUP(E60,$P180:$Q211,2,FALSE),"-")</f>
        <v/>
      </c>
      <c r="P60" s="50">
        <f>IF(OR(E60="Manutenção Interface",E60="Paginas Estáticas"),J60*O60,
IF(OR(D60="",E60=""),"",
N60*O60))</f>
        <v/>
      </c>
      <c r="Q60" s="21" t="n"/>
      <c r="S60" s="69">
        <f>IF(OR(M60="Baixa",E60="Manutenção Interface",E60="Paginas Estáticas"),1,0)</f>
        <v/>
      </c>
      <c r="T60" s="69">
        <f>IF(OR(M60="Média",M60="Alta"),1,0)</f>
        <v/>
      </c>
    </row>
    <row r="61" ht="16.5" customHeight="1" s="30">
      <c r="B61" s="105" t="n"/>
      <c r="C61" s="101" t="n"/>
      <c r="D61" s="19" t="n"/>
      <c r="E61" s="57" t="n"/>
      <c r="F61" s="57" t="n"/>
      <c r="G61" s="57" t="n"/>
      <c r="H61" s="57" t="n"/>
      <c r="I61" s="57" t="n"/>
      <c r="J61" s="57" t="n"/>
      <c r="K61" s="57">
        <f>CONCATENATE(D61,L61)</f>
        <v/>
      </c>
      <c r="L61" s="57">
        <f>IF(OR(ISBLANK(F61),ISBLANK(H61)),IF(OR(D61="ALI",D61="AIE"),"L",IF(ISBLANK(D61),"","A")),IF(D61="EE",IF(H61&gt;=3,IF(F61&gt;=5,"H","A"),IF(H61&gt;=2,IF(F61&gt;=16,"H",IF(F61&lt;=4,"L","A")),IF(F61&lt;=15,"L","A"))),IF(OR(D61="SE",D61="CE"),IF(H61&gt;=4,IF(F61&gt;=6,"H","A"),IF(H61&gt;=2,IF(F61&gt;=20,"H",IF(F61&lt;=5,"L","A")),IF(F61&lt;=19,"L","A"))),IF(OR(D61="ALI",D61="AIE"),IF(H61&gt;=6,IF(F61&gt;=20,"H","A"),IF(H61&gt;=2,IF(F61&gt;=51,"H",IF(F61&lt;=19,"L","A")),IF(F61&lt;=50,"L","A")))))))</f>
        <v/>
      </c>
      <c r="M61" s="20">
        <f>IF(L61="L","Baixa",IF(L61="A","Média",IF(L61="","","Alta")))</f>
        <v/>
      </c>
      <c r="N61" s="21">
        <f>IF(ISBLANK(D61),"",IF(D61="ALI",IF(L61="L",7,IF(L61="A",10,15)),IF(D61="AIE",IF(L61="L",5,IF(L61="A",7,10)),IF(D61="SE",IF(L61="L",4,IF(L61="A",5,7)),IF(OR(D61="EE",D61="CE"),IF(L61="L",3,IF(L61="A",4,6)))))))</f>
        <v/>
      </c>
      <c r="O61" s="59">
        <f>IF(E61&lt;&gt;"",VLOOKUP(E61,$P180:$Q211,2,FALSE),"-")</f>
        <v/>
      </c>
      <c r="P61" s="50">
        <f>IF(OR(E61="Manutenção Interface",E61="Paginas Estáticas"),J61*O61,
IF(OR(D61="",E61=""),"",
N61*O61))</f>
        <v/>
      </c>
      <c r="Q61" s="21" t="n"/>
      <c r="S61" s="69">
        <f>IF(OR(M61="Baixa",E61="Manutenção Interface",E61="Paginas Estáticas"),1,0)</f>
        <v/>
      </c>
      <c r="T61" s="69">
        <f>IF(OR(M61="Média",M61="Alta"),1,0)</f>
        <v/>
      </c>
    </row>
    <row r="62" ht="16.5" customHeight="1" s="30">
      <c r="B62" s="105" t="n"/>
      <c r="C62" s="101" t="n"/>
      <c r="D62" s="19" t="n"/>
      <c r="E62" s="57" t="n"/>
      <c r="F62" s="57" t="n"/>
      <c r="G62" s="57" t="n"/>
      <c r="H62" s="57" t="n"/>
      <c r="I62" s="57" t="n"/>
      <c r="J62" s="57" t="n"/>
      <c r="K62" s="57">
        <f>CONCATENATE(D62,L62)</f>
        <v/>
      </c>
      <c r="L62" s="57">
        <f>IF(OR(ISBLANK(F62),ISBLANK(H62)),IF(OR(D62="ALI",D62="AIE"),"L",IF(ISBLANK(D62),"","A")),IF(D62="EE",IF(H62&gt;=3,IF(F62&gt;=5,"H","A"),IF(H62&gt;=2,IF(F62&gt;=16,"H",IF(F62&lt;=4,"L","A")),IF(F62&lt;=15,"L","A"))),IF(OR(D62="SE",D62="CE"),IF(H62&gt;=4,IF(F62&gt;=6,"H","A"),IF(H62&gt;=2,IF(F62&gt;=20,"H",IF(F62&lt;=5,"L","A")),IF(F62&lt;=19,"L","A"))),IF(OR(D62="ALI",D62="AIE"),IF(H62&gt;=6,IF(F62&gt;=20,"H","A"),IF(H62&gt;=2,IF(F62&gt;=51,"H",IF(F62&lt;=19,"L","A")),IF(F62&lt;=50,"L","A")))))))</f>
        <v/>
      </c>
      <c r="M62" s="20">
        <f>IF(L62="L","Baixa",IF(L62="A","Média",IF(L62="","","Alta")))</f>
        <v/>
      </c>
      <c r="N62" s="21">
        <f>IF(ISBLANK(D62),"",IF(D62="ALI",IF(L62="L",7,IF(L62="A",10,15)),IF(D62="AIE",IF(L62="L",5,IF(L62="A",7,10)),IF(D62="SE",IF(L62="L",4,IF(L62="A",5,7)),IF(OR(D62="EE",D62="CE"),IF(L62="L",3,IF(L62="A",4,6)))))))</f>
        <v/>
      </c>
      <c r="O62" s="59">
        <f>IF(E62&lt;&gt;"",VLOOKUP(E62,$P180:$Q211,2,FALSE),"-")</f>
        <v/>
      </c>
      <c r="P62" s="50">
        <f>IF(OR(E62="Manutenção Interface",E62="Paginas Estáticas"),J62*O62,
IF(OR(D62="",E62=""),"",
N62*O62))</f>
        <v/>
      </c>
      <c r="Q62" s="21" t="n"/>
      <c r="S62" s="69">
        <f>IF(OR(M62="Baixa",E62="Manutenção Interface",E62="Paginas Estáticas"),1,0)</f>
        <v/>
      </c>
      <c r="T62" s="69">
        <f>IF(OR(M62="Média",M62="Alta"),1,0)</f>
        <v/>
      </c>
    </row>
    <row r="63" ht="16.5" customHeight="1" s="30">
      <c r="B63" s="105" t="n"/>
      <c r="C63" s="101" t="n"/>
      <c r="D63" s="19" t="n"/>
      <c r="E63" s="57" t="n"/>
      <c r="F63" s="57" t="n"/>
      <c r="G63" s="57" t="n"/>
      <c r="H63" s="57" t="n"/>
      <c r="I63" s="57" t="n"/>
      <c r="J63" s="57" t="n"/>
      <c r="K63" s="57">
        <f>CONCATENATE(D63,L63)</f>
        <v/>
      </c>
      <c r="L63" s="57">
        <f>IF(OR(ISBLANK(F63),ISBLANK(H63)),IF(OR(D63="ALI",D63="AIE"),"L",IF(ISBLANK(D63),"","A")),IF(D63="EE",IF(H63&gt;=3,IF(F63&gt;=5,"H","A"),IF(H63&gt;=2,IF(F63&gt;=16,"H",IF(F63&lt;=4,"L","A")),IF(F63&lt;=15,"L","A"))),IF(OR(D63="SE",D63="CE"),IF(H63&gt;=4,IF(F63&gt;=6,"H","A"),IF(H63&gt;=2,IF(F63&gt;=20,"H",IF(F63&lt;=5,"L","A")),IF(F63&lt;=19,"L","A"))),IF(OR(D63="ALI",D63="AIE"),IF(H63&gt;=6,IF(F63&gt;=20,"H","A"),IF(H63&gt;=2,IF(F63&gt;=51,"H",IF(F63&lt;=19,"L","A")),IF(F63&lt;=50,"L","A")))))))</f>
        <v/>
      </c>
      <c r="M63" s="20">
        <f>IF(L63="L","Baixa",IF(L63="A","Média",IF(L63="","","Alta")))</f>
        <v/>
      </c>
      <c r="N63" s="21">
        <f>IF(ISBLANK(D63),"",IF(D63="ALI",IF(L63="L",7,IF(L63="A",10,15)),IF(D63="AIE",IF(L63="L",5,IF(L63="A",7,10)),IF(D63="SE",IF(L63="L",4,IF(L63="A",5,7)),IF(OR(D63="EE",D63="CE"),IF(L63="L",3,IF(L63="A",4,6)))))))</f>
        <v/>
      </c>
      <c r="O63" s="59">
        <f>IF(E63&lt;&gt;"",VLOOKUP(E63,$P180:$Q211,2,FALSE),"-")</f>
        <v/>
      </c>
      <c r="P63" s="50">
        <f>IF(OR(E63="Manutenção Interface",E63="Paginas Estáticas"),J63*O63,
IF(OR(D63="",E63=""),"",
N63*O63))</f>
        <v/>
      </c>
      <c r="Q63" s="21" t="n"/>
      <c r="S63" s="69">
        <f>IF(OR(M63="Baixa",E63="Manutenção Interface",E63="Paginas Estáticas"),1,0)</f>
        <v/>
      </c>
      <c r="T63" s="69">
        <f>IF(OR(M63="Média",M63="Alta"),1,0)</f>
        <v/>
      </c>
    </row>
    <row r="64" ht="16.5" customHeight="1" s="30">
      <c r="B64" s="105" t="n"/>
      <c r="C64" s="101" t="n"/>
      <c r="D64" s="19" t="n"/>
      <c r="E64" s="57" t="n"/>
      <c r="F64" s="57" t="n"/>
      <c r="G64" s="57" t="n"/>
      <c r="H64" s="57" t="n"/>
      <c r="I64" s="57" t="n"/>
      <c r="J64" s="57" t="n"/>
      <c r="K64" s="57">
        <f>CONCATENATE(D64,L64)</f>
        <v/>
      </c>
      <c r="L64" s="57">
        <f>IF(OR(ISBLANK(F64),ISBLANK(H64)),IF(OR(D64="ALI",D64="AIE"),"L",IF(ISBLANK(D64),"","A")),IF(D64="EE",IF(H64&gt;=3,IF(F64&gt;=5,"H","A"),IF(H64&gt;=2,IF(F64&gt;=16,"H",IF(F64&lt;=4,"L","A")),IF(F64&lt;=15,"L","A"))),IF(OR(D64="SE",D64="CE"),IF(H64&gt;=4,IF(F64&gt;=6,"H","A"),IF(H64&gt;=2,IF(F64&gt;=20,"H",IF(F64&lt;=5,"L","A")),IF(F64&lt;=19,"L","A"))),IF(OR(D64="ALI",D64="AIE"),IF(H64&gt;=6,IF(F64&gt;=20,"H","A"),IF(H64&gt;=2,IF(F64&gt;=51,"H",IF(F64&lt;=19,"L","A")),IF(F64&lt;=50,"L","A")))))))</f>
        <v/>
      </c>
      <c r="M64" s="20">
        <f>IF(L64="L","Baixa",IF(L64="A","Média",IF(L64="","","Alta")))</f>
        <v/>
      </c>
      <c r="N64" s="21">
        <f>IF(ISBLANK(D64),"",IF(D64="ALI",IF(L64="L",7,IF(L64="A",10,15)),IF(D64="AIE",IF(L64="L",5,IF(L64="A",7,10)),IF(D64="SE",IF(L64="L",4,IF(L64="A",5,7)),IF(OR(D64="EE",D64="CE"),IF(L64="L",3,IF(L64="A",4,6)))))))</f>
        <v/>
      </c>
      <c r="O64" s="59">
        <f>IF(E64&lt;&gt;"",VLOOKUP(E64,$P180:$Q211,2,FALSE),"-")</f>
        <v/>
      </c>
      <c r="P64" s="50">
        <f>IF(OR(E64="Manutenção Interface",E64="Paginas Estáticas"),J64*O64,
IF(OR(D64="",E64=""),"",
N64*O64))</f>
        <v/>
      </c>
      <c r="Q64" s="21" t="n"/>
      <c r="S64" s="69">
        <f>IF(OR(M64="Baixa",E64="Manutenção Interface",E64="Paginas Estáticas"),1,0)</f>
        <v/>
      </c>
      <c r="T64" s="69">
        <f>IF(OR(M64="Média",M64="Alta"),1,0)</f>
        <v/>
      </c>
    </row>
    <row r="65" ht="16.5" customHeight="1" s="30">
      <c r="B65" s="105" t="n"/>
      <c r="C65" s="101" t="n"/>
      <c r="D65" s="19" t="n"/>
      <c r="E65" s="57" t="n"/>
      <c r="F65" s="57" t="n"/>
      <c r="G65" s="57" t="n"/>
      <c r="H65" s="57" t="n"/>
      <c r="I65" s="57" t="n"/>
      <c r="J65" s="57" t="n"/>
      <c r="K65" s="57">
        <f>CONCATENATE(D65,L65)</f>
        <v/>
      </c>
      <c r="L65" s="57">
        <f>IF(OR(ISBLANK(F65),ISBLANK(H65)),IF(OR(D65="ALI",D65="AIE"),"L",IF(ISBLANK(D65),"","A")),IF(D65="EE",IF(H65&gt;=3,IF(F65&gt;=5,"H","A"),IF(H65&gt;=2,IF(F65&gt;=16,"H",IF(F65&lt;=4,"L","A")),IF(F65&lt;=15,"L","A"))),IF(OR(D65="SE",D65="CE"),IF(H65&gt;=4,IF(F65&gt;=6,"H","A"),IF(H65&gt;=2,IF(F65&gt;=20,"H",IF(F65&lt;=5,"L","A")),IF(F65&lt;=19,"L","A"))),IF(OR(D65="ALI",D65="AIE"),IF(H65&gt;=6,IF(F65&gt;=20,"H","A"),IF(H65&gt;=2,IF(F65&gt;=51,"H",IF(F65&lt;=19,"L","A")),IF(F65&lt;=50,"L","A")))))))</f>
        <v/>
      </c>
      <c r="M65" s="20">
        <f>IF(L65="L","Baixa",IF(L65="A","Média",IF(L65="","","Alta")))</f>
        <v/>
      </c>
      <c r="N65" s="21">
        <f>IF(ISBLANK(D65),"",IF(D65="ALI",IF(L65="L",7,IF(L65="A",10,15)),IF(D65="AIE",IF(L65="L",5,IF(L65="A",7,10)),IF(D65="SE",IF(L65="L",4,IF(L65="A",5,7)),IF(OR(D65="EE",D65="CE"),IF(L65="L",3,IF(L65="A",4,6)))))))</f>
        <v/>
      </c>
      <c r="O65" s="59">
        <f>IF(E65&lt;&gt;"",VLOOKUP(E65,$P180:$Q211,2,FALSE),"-")</f>
        <v/>
      </c>
      <c r="P65" s="50">
        <f>IF(OR(E65="Manutenção Interface",E65="Paginas Estáticas"),J65*O65,
IF(OR(D65="",E65=""),"",
N65*O65))</f>
        <v/>
      </c>
      <c r="Q65" s="21" t="n"/>
      <c r="S65" s="69">
        <f>IF(OR(M65="Baixa",E65="Manutenção Interface",E65="Paginas Estáticas"),1,0)</f>
        <v/>
      </c>
      <c r="T65" s="69">
        <f>IF(OR(M65="Média",M65="Alta"),1,0)</f>
        <v/>
      </c>
    </row>
    <row r="66" ht="16.5" customHeight="1" s="30">
      <c r="B66" s="105" t="n"/>
      <c r="C66" s="101" t="n"/>
      <c r="D66" s="19" t="n"/>
      <c r="E66" s="57" t="n"/>
      <c r="F66" s="57" t="n"/>
      <c r="G66" s="57" t="n"/>
      <c r="H66" s="57" t="n"/>
      <c r="I66" s="57" t="n"/>
      <c r="J66" s="57" t="n"/>
      <c r="K66" s="57">
        <f>CONCATENATE(D66,L66)</f>
        <v/>
      </c>
      <c r="L66" s="57">
        <f>IF(OR(ISBLANK(F66),ISBLANK(H66)),IF(OR(D66="ALI",D66="AIE"),"L",IF(ISBLANK(D66),"","A")),IF(D66="EE",IF(H66&gt;=3,IF(F66&gt;=5,"H","A"),IF(H66&gt;=2,IF(F66&gt;=16,"H",IF(F66&lt;=4,"L","A")),IF(F66&lt;=15,"L","A"))),IF(OR(D66="SE",D66="CE"),IF(H66&gt;=4,IF(F66&gt;=6,"H","A"),IF(H66&gt;=2,IF(F66&gt;=20,"H",IF(F66&lt;=5,"L","A")),IF(F66&lt;=19,"L","A"))),IF(OR(D66="ALI",D66="AIE"),IF(H66&gt;=6,IF(F66&gt;=20,"H","A"),IF(H66&gt;=2,IF(F66&gt;=51,"H",IF(F66&lt;=19,"L","A")),IF(F66&lt;=50,"L","A")))))))</f>
        <v/>
      </c>
      <c r="M66" s="20">
        <f>IF(L66="L","Baixa",IF(L66="A","Média",IF(L66="","","Alta")))</f>
        <v/>
      </c>
      <c r="N66" s="21">
        <f>IF(ISBLANK(D66),"",IF(D66="ALI",IF(L66="L",7,IF(L66="A",10,15)),IF(D66="AIE",IF(L66="L",5,IF(L66="A",7,10)),IF(D66="SE",IF(L66="L",4,IF(L66="A",5,7)),IF(OR(D66="EE",D66="CE"),IF(L66="L",3,IF(L66="A",4,6)))))))</f>
        <v/>
      </c>
      <c r="O66" s="59">
        <f>IF(E66&lt;&gt;"",VLOOKUP(E66,$P180:$Q211,2,FALSE),"-")</f>
        <v/>
      </c>
      <c r="P66" s="50">
        <f>IF(OR(E66="Manutenção Interface",E66="Paginas Estáticas"),J66*O66,
IF(OR(D66="",E66=""),"",
N66*O66))</f>
        <v/>
      </c>
      <c r="Q66" s="21" t="n"/>
      <c r="S66" s="69">
        <f>IF(OR(M66="Baixa",E66="Manutenção Interface",E66="Paginas Estáticas"),1,0)</f>
        <v/>
      </c>
      <c r="T66" s="69">
        <f>IF(OR(M66="Média",M66="Alta"),1,0)</f>
        <v/>
      </c>
    </row>
    <row r="67" ht="16.5" customHeight="1" s="30">
      <c r="B67" s="105" t="n"/>
      <c r="C67" s="101" t="n"/>
      <c r="D67" s="19" t="n"/>
      <c r="E67" s="57" t="n"/>
      <c r="F67" s="57" t="n"/>
      <c r="G67" s="57" t="n"/>
      <c r="H67" s="57" t="n"/>
      <c r="I67" s="57" t="n"/>
      <c r="J67" s="57" t="n"/>
      <c r="K67" s="57">
        <f>CONCATENATE(D67,L67)</f>
        <v/>
      </c>
      <c r="L67" s="57">
        <f>IF(OR(ISBLANK(F67),ISBLANK(H67)),IF(OR(D67="ALI",D67="AIE"),"L",IF(ISBLANK(D67),"","A")),IF(D67="EE",IF(H67&gt;=3,IF(F67&gt;=5,"H","A"),IF(H67&gt;=2,IF(F67&gt;=16,"H",IF(F67&lt;=4,"L","A")),IF(F67&lt;=15,"L","A"))),IF(OR(D67="SE",D67="CE"),IF(H67&gt;=4,IF(F67&gt;=6,"H","A"),IF(H67&gt;=2,IF(F67&gt;=20,"H",IF(F67&lt;=5,"L","A")),IF(F67&lt;=19,"L","A"))),IF(OR(D67="ALI",D67="AIE"),IF(H67&gt;=6,IF(F67&gt;=20,"H","A"),IF(H67&gt;=2,IF(F67&gt;=51,"H",IF(F67&lt;=19,"L","A")),IF(F67&lt;=50,"L","A")))))))</f>
        <v/>
      </c>
      <c r="M67" s="20">
        <f>IF(L67="L","Baixa",IF(L67="A","Média",IF(L67="","","Alta")))</f>
        <v/>
      </c>
      <c r="N67" s="21">
        <f>IF(ISBLANK(D67),"",IF(D67="ALI",IF(L67="L",7,IF(L67="A",10,15)),IF(D67="AIE",IF(L67="L",5,IF(L67="A",7,10)),IF(D67="SE",IF(L67="L",4,IF(L67="A",5,7)),IF(OR(D67="EE",D67="CE"),IF(L67="L",3,IF(L67="A",4,6)))))))</f>
        <v/>
      </c>
      <c r="O67" s="59">
        <f>IF(E67&lt;&gt;"",VLOOKUP(E67,$P180:$Q211,2,FALSE),"-")</f>
        <v/>
      </c>
      <c r="P67" s="50">
        <f>IF(OR(E67="Manutenção Interface",E67="Paginas Estáticas"),J67*O67,
IF(OR(D67="",E67=""),"",
N67*O67))</f>
        <v/>
      </c>
      <c r="Q67" s="21" t="n"/>
      <c r="S67" s="69">
        <f>IF(OR(M67="Baixa",E67="Manutenção Interface",E67="Paginas Estáticas"),1,0)</f>
        <v/>
      </c>
      <c r="T67" s="69">
        <f>IF(OR(M67="Média",M67="Alta"),1,0)</f>
        <v/>
      </c>
    </row>
    <row r="68" ht="16.5" customHeight="1" s="30">
      <c r="B68" s="105" t="n"/>
      <c r="C68" s="101" t="n"/>
      <c r="D68" s="19" t="n"/>
      <c r="E68" s="57" t="n"/>
      <c r="F68" s="57" t="n"/>
      <c r="G68" s="57" t="n"/>
      <c r="H68" s="57" t="n"/>
      <c r="I68" s="57" t="n"/>
      <c r="J68" s="57" t="n"/>
      <c r="K68" s="57">
        <f>CONCATENATE(D68,L68)</f>
        <v/>
      </c>
      <c r="L68" s="57">
        <f>IF(OR(ISBLANK(F68),ISBLANK(H68)),IF(OR(D68="ALI",D68="AIE"),"L",IF(ISBLANK(D68),"","A")),IF(D68="EE",IF(H68&gt;=3,IF(F68&gt;=5,"H","A"),IF(H68&gt;=2,IF(F68&gt;=16,"H",IF(F68&lt;=4,"L","A")),IF(F68&lt;=15,"L","A"))),IF(OR(D68="SE",D68="CE"),IF(H68&gt;=4,IF(F68&gt;=6,"H","A"),IF(H68&gt;=2,IF(F68&gt;=20,"H",IF(F68&lt;=5,"L","A")),IF(F68&lt;=19,"L","A"))),IF(OR(D68="ALI",D68="AIE"),IF(H68&gt;=6,IF(F68&gt;=20,"H","A"),IF(H68&gt;=2,IF(F68&gt;=51,"H",IF(F68&lt;=19,"L","A")),IF(F68&lt;=50,"L","A")))))))</f>
        <v/>
      </c>
      <c r="M68" s="20">
        <f>IF(L68="L","Baixa",IF(L68="A","Média",IF(L68="","","Alta")))</f>
        <v/>
      </c>
      <c r="N68" s="21">
        <f>IF(ISBLANK(D68),"",IF(D68="ALI",IF(L68="L",7,IF(L68="A",10,15)),IF(D68="AIE",IF(L68="L",5,IF(L68="A",7,10)),IF(D68="SE",IF(L68="L",4,IF(L68="A",5,7)),IF(OR(D68="EE",D68="CE"),IF(L68="L",3,IF(L68="A",4,6)))))))</f>
        <v/>
      </c>
      <c r="O68" s="59">
        <f>IF(E68&lt;&gt;"",VLOOKUP(E68,$P180:$Q211,2,FALSE),"-")</f>
        <v/>
      </c>
      <c r="P68" s="50">
        <f>IF(OR(E68="Manutenção Interface",E68="Paginas Estáticas"),J68*O68,
IF(OR(D68="",E68=""),"",
N68*O68))</f>
        <v/>
      </c>
      <c r="Q68" s="21" t="n"/>
      <c r="S68" s="69">
        <f>IF(OR(M68="Baixa",E68="Manutenção Interface",E68="Paginas Estáticas"),1,0)</f>
        <v/>
      </c>
      <c r="T68" s="69">
        <f>IF(OR(M68="Média",M68="Alta"),1,0)</f>
        <v/>
      </c>
    </row>
    <row r="69" ht="16.5" customHeight="1" s="30">
      <c r="B69" s="105" t="n"/>
      <c r="C69" s="101" t="n"/>
      <c r="D69" s="19" t="n"/>
      <c r="E69" s="57" t="n"/>
      <c r="F69" s="57" t="n"/>
      <c r="G69" s="57" t="n"/>
      <c r="H69" s="57" t="n"/>
      <c r="I69" s="57" t="n"/>
      <c r="J69" s="57" t="n"/>
      <c r="K69" s="57">
        <f>CONCATENATE(D69,L69)</f>
        <v/>
      </c>
      <c r="L69" s="57">
        <f>IF(OR(ISBLANK(F69),ISBLANK(H69)),IF(OR(D69="ALI",D69="AIE"),"L",IF(ISBLANK(D69),"","A")),IF(D69="EE",IF(H69&gt;=3,IF(F69&gt;=5,"H","A"),IF(H69&gt;=2,IF(F69&gt;=16,"H",IF(F69&lt;=4,"L","A")),IF(F69&lt;=15,"L","A"))),IF(OR(D69="SE",D69="CE"),IF(H69&gt;=4,IF(F69&gt;=6,"H","A"),IF(H69&gt;=2,IF(F69&gt;=20,"H",IF(F69&lt;=5,"L","A")),IF(F69&lt;=19,"L","A"))),IF(OR(D69="ALI",D69="AIE"),IF(H69&gt;=6,IF(F69&gt;=20,"H","A"),IF(H69&gt;=2,IF(F69&gt;=51,"H",IF(F69&lt;=19,"L","A")),IF(F69&lt;=50,"L","A")))))))</f>
        <v/>
      </c>
      <c r="M69" s="20">
        <f>IF(L69="L","Baixa",IF(L69="A","Média",IF(L69="","","Alta")))</f>
        <v/>
      </c>
      <c r="N69" s="21">
        <f>IF(ISBLANK(D69),"",IF(D69="ALI",IF(L69="L",7,IF(L69="A",10,15)),IF(D69="AIE",IF(L69="L",5,IF(L69="A",7,10)),IF(D69="SE",IF(L69="L",4,IF(L69="A",5,7)),IF(OR(D69="EE",D69="CE"),IF(L69="L",3,IF(L69="A",4,6)))))))</f>
        <v/>
      </c>
      <c r="O69" s="59">
        <f>IF(E69&lt;&gt;"",VLOOKUP(E69,$P180:$Q211,2,FALSE),"-")</f>
        <v/>
      </c>
      <c r="P69" s="50">
        <f>IF(OR(E69="Manutenção Interface",E69="Paginas Estáticas"),J69*O69,
IF(OR(D69="",E69=""),"",
N69*O69))</f>
        <v/>
      </c>
      <c r="Q69" s="21" t="n"/>
      <c r="S69" s="69">
        <f>IF(OR(M69="Baixa",E69="Manutenção Interface",E69="Paginas Estáticas"),1,0)</f>
        <v/>
      </c>
      <c r="T69" s="69">
        <f>IF(OR(M69="Média",M69="Alta"),1,0)</f>
        <v/>
      </c>
    </row>
    <row r="70" ht="16.5" customHeight="1" s="30">
      <c r="B70" s="105" t="n"/>
      <c r="C70" s="101" t="n"/>
      <c r="D70" s="19" t="n"/>
      <c r="E70" s="57" t="n"/>
      <c r="F70" s="57" t="n"/>
      <c r="G70" s="57" t="n"/>
      <c r="H70" s="57" t="n"/>
      <c r="I70" s="57" t="n"/>
      <c r="J70" s="57" t="n"/>
      <c r="K70" s="57">
        <f>CONCATENATE(D70,L70)</f>
        <v/>
      </c>
      <c r="L70" s="57">
        <f>IF(OR(ISBLANK(F70),ISBLANK(H70)),IF(OR(D70="ALI",D70="AIE"),"L",IF(ISBLANK(D70),"","A")),IF(D70="EE",IF(H70&gt;=3,IF(F70&gt;=5,"H","A"),IF(H70&gt;=2,IF(F70&gt;=16,"H",IF(F70&lt;=4,"L","A")),IF(F70&lt;=15,"L","A"))),IF(OR(D70="SE",D70="CE"),IF(H70&gt;=4,IF(F70&gt;=6,"H","A"),IF(H70&gt;=2,IF(F70&gt;=20,"H",IF(F70&lt;=5,"L","A")),IF(F70&lt;=19,"L","A"))),IF(OR(D70="ALI",D70="AIE"),IF(H70&gt;=6,IF(F70&gt;=20,"H","A"),IF(H70&gt;=2,IF(F70&gt;=51,"H",IF(F70&lt;=19,"L","A")),IF(F70&lt;=50,"L","A")))))))</f>
        <v/>
      </c>
      <c r="M70" s="20">
        <f>IF(L70="L","Baixa",IF(L70="A","Média",IF(L70="","","Alta")))</f>
        <v/>
      </c>
      <c r="N70" s="21">
        <f>IF(ISBLANK(D70),"",IF(D70="ALI",IF(L70="L",7,IF(L70="A",10,15)),IF(D70="AIE",IF(L70="L",5,IF(L70="A",7,10)),IF(D70="SE",IF(L70="L",4,IF(L70="A",5,7)),IF(OR(D70="EE",D70="CE"),IF(L70="L",3,IF(L70="A",4,6)))))))</f>
        <v/>
      </c>
      <c r="O70" s="59">
        <f>IF(E70&lt;&gt;"",VLOOKUP(E70,$P180:$Q211,2,FALSE),"-")</f>
        <v/>
      </c>
      <c r="P70" s="50">
        <f>IF(OR(E70="Manutenção Interface",E70="Paginas Estáticas"),J70*O70,
IF(OR(D70="",E70=""),"",
N70*O70))</f>
        <v/>
      </c>
      <c r="Q70" s="21" t="n"/>
      <c r="S70" s="69">
        <f>IF(OR(M70="Baixa",E70="Manutenção Interface",E70="Paginas Estáticas"),1,0)</f>
        <v/>
      </c>
      <c r="T70" s="69">
        <f>IF(OR(M70="Média",M70="Alta"),1,0)</f>
        <v/>
      </c>
    </row>
    <row r="71" ht="16.5" customHeight="1" s="30">
      <c r="B71" s="105" t="n"/>
      <c r="C71" s="101" t="n"/>
      <c r="D71" s="19" t="n"/>
      <c r="E71" s="57" t="n"/>
      <c r="F71" s="57" t="n"/>
      <c r="G71" s="57" t="n"/>
      <c r="H71" s="57" t="n"/>
      <c r="I71" s="57" t="n"/>
      <c r="J71" s="57" t="n"/>
      <c r="K71" s="57">
        <f>CONCATENATE(D71,L71)</f>
        <v/>
      </c>
      <c r="L71" s="57">
        <f>IF(OR(ISBLANK(F71),ISBLANK(H71)),IF(OR(D71="ALI",D71="AIE"),"L",IF(ISBLANK(D71),"","A")),IF(D71="EE",IF(H71&gt;=3,IF(F71&gt;=5,"H","A"),IF(H71&gt;=2,IF(F71&gt;=16,"H",IF(F71&lt;=4,"L","A")),IF(F71&lt;=15,"L","A"))),IF(OR(D71="SE",D71="CE"),IF(H71&gt;=4,IF(F71&gt;=6,"H","A"),IF(H71&gt;=2,IF(F71&gt;=20,"H",IF(F71&lt;=5,"L","A")),IF(F71&lt;=19,"L","A"))),IF(OR(D71="ALI",D71="AIE"),IF(H71&gt;=6,IF(F71&gt;=20,"H","A"),IF(H71&gt;=2,IF(F71&gt;=51,"H",IF(F71&lt;=19,"L","A")),IF(F71&lt;=50,"L","A")))))))</f>
        <v/>
      </c>
      <c r="M71" s="20">
        <f>IF(L71="L","Baixa",IF(L71="A","Média",IF(L71="","","Alta")))</f>
        <v/>
      </c>
      <c r="N71" s="21">
        <f>IF(ISBLANK(D71),"",IF(D71="ALI",IF(L71="L",7,IF(L71="A",10,15)),IF(D71="AIE",IF(L71="L",5,IF(L71="A",7,10)),IF(D71="SE",IF(L71="L",4,IF(L71="A",5,7)),IF(OR(D71="EE",D71="CE"),IF(L71="L",3,IF(L71="A",4,6)))))))</f>
        <v/>
      </c>
      <c r="O71" s="59">
        <f>IF(E71&lt;&gt;"",VLOOKUP(E71,$P180:$Q211,2,FALSE),"-")</f>
        <v/>
      </c>
      <c r="P71" s="50">
        <f>IF(OR(E71="Manutenção Interface",E71="Paginas Estáticas"),J71*O71,
IF(OR(D71="",E71=""),"",
N71*O71))</f>
        <v/>
      </c>
      <c r="Q71" s="21" t="n"/>
      <c r="S71" s="69">
        <f>IF(OR(M71="Baixa",E71="Manutenção Interface",E71="Paginas Estáticas"),1,0)</f>
        <v/>
      </c>
      <c r="T71" s="69">
        <f>IF(OR(M71="Média",M71="Alta"),1,0)</f>
        <v/>
      </c>
    </row>
    <row r="72" ht="16.5" customHeight="1" s="30">
      <c r="B72" s="105" t="n"/>
      <c r="C72" s="101" t="n"/>
      <c r="D72" s="19" t="n"/>
      <c r="E72" s="57" t="n"/>
      <c r="F72" s="57" t="n"/>
      <c r="G72" s="57" t="n"/>
      <c r="H72" s="57" t="n"/>
      <c r="I72" s="57" t="n"/>
      <c r="J72" s="57" t="n"/>
      <c r="K72" s="57">
        <f>CONCATENATE(D72,L72)</f>
        <v/>
      </c>
      <c r="L72" s="57">
        <f>IF(OR(ISBLANK(F72),ISBLANK(H72)),IF(OR(D72="ALI",D72="AIE"),"L",IF(ISBLANK(D72),"","A")),IF(D72="EE",IF(H72&gt;=3,IF(F72&gt;=5,"H","A"),IF(H72&gt;=2,IF(F72&gt;=16,"H",IF(F72&lt;=4,"L","A")),IF(F72&lt;=15,"L","A"))),IF(OR(D72="SE",D72="CE"),IF(H72&gt;=4,IF(F72&gt;=6,"H","A"),IF(H72&gt;=2,IF(F72&gt;=20,"H",IF(F72&lt;=5,"L","A")),IF(F72&lt;=19,"L","A"))),IF(OR(D72="ALI",D72="AIE"),IF(H72&gt;=6,IF(F72&gt;=20,"H","A"),IF(H72&gt;=2,IF(F72&gt;=51,"H",IF(F72&lt;=19,"L","A")),IF(F72&lt;=50,"L","A")))))))</f>
        <v/>
      </c>
      <c r="M72" s="20">
        <f>IF(L72="L","Baixa",IF(L72="A","Média",IF(L72="","","Alta")))</f>
        <v/>
      </c>
      <c r="N72" s="21">
        <f>IF(ISBLANK(D72),"",IF(D72="ALI",IF(L72="L",7,IF(L72="A",10,15)),IF(D72="AIE",IF(L72="L",5,IF(L72="A",7,10)),IF(D72="SE",IF(L72="L",4,IF(L72="A",5,7)),IF(OR(D72="EE",D72="CE"),IF(L72="L",3,IF(L72="A",4,6)))))))</f>
        <v/>
      </c>
      <c r="O72" s="59">
        <f>IF(E72&lt;&gt;"",VLOOKUP(E72,$P180:$Q211,2,FALSE),"-")</f>
        <v/>
      </c>
      <c r="P72" s="50">
        <f>IF(OR(E72="Manutenção Interface",E72="Paginas Estáticas"),J72*O72,
IF(OR(D72="",E72=""),"",
N72*O72))</f>
        <v/>
      </c>
      <c r="Q72" s="21" t="n"/>
      <c r="S72" s="69">
        <f>IF(OR(M72="Baixa",E72="Manutenção Interface",E72="Paginas Estáticas"),1,0)</f>
        <v/>
      </c>
      <c r="T72" s="69">
        <f>IF(OR(M72="Média",M72="Alta"),1,0)</f>
        <v/>
      </c>
    </row>
    <row r="73" ht="16.5" customHeight="1" s="30">
      <c r="B73" s="105" t="n"/>
      <c r="C73" s="101" t="n"/>
      <c r="D73" s="19" t="n"/>
      <c r="E73" s="57" t="n"/>
      <c r="F73" s="57" t="n"/>
      <c r="G73" s="57" t="n"/>
      <c r="H73" s="57" t="n"/>
      <c r="I73" s="57" t="n"/>
      <c r="J73" s="57" t="n"/>
      <c r="K73" s="57">
        <f>CONCATENATE(D73,L73)</f>
        <v/>
      </c>
      <c r="L73" s="57">
        <f>IF(OR(ISBLANK(F73),ISBLANK(H73)),IF(OR(D73="ALI",D73="AIE"),"L",IF(ISBLANK(D73),"","A")),IF(D73="EE",IF(H73&gt;=3,IF(F73&gt;=5,"H","A"),IF(H73&gt;=2,IF(F73&gt;=16,"H",IF(F73&lt;=4,"L","A")),IF(F73&lt;=15,"L","A"))),IF(OR(D73="SE",D73="CE"),IF(H73&gt;=4,IF(F73&gt;=6,"H","A"),IF(H73&gt;=2,IF(F73&gt;=20,"H",IF(F73&lt;=5,"L","A")),IF(F73&lt;=19,"L","A"))),IF(OR(D73="ALI",D73="AIE"),IF(H73&gt;=6,IF(F73&gt;=20,"H","A"),IF(H73&gt;=2,IF(F73&gt;=51,"H",IF(F73&lt;=19,"L","A")),IF(F73&lt;=50,"L","A")))))))</f>
        <v/>
      </c>
      <c r="M73" s="20">
        <f>IF(L73="L","Baixa",IF(L73="A","Média",IF(L73="","","Alta")))</f>
        <v/>
      </c>
      <c r="N73" s="21">
        <f>IF(ISBLANK(D73),"",IF(D73="ALI",IF(L73="L",7,IF(L73="A",10,15)),IF(D73="AIE",IF(L73="L",5,IF(L73="A",7,10)),IF(D73="SE",IF(L73="L",4,IF(L73="A",5,7)),IF(OR(D73="EE",D73="CE"),IF(L73="L",3,IF(L73="A",4,6)))))))</f>
        <v/>
      </c>
      <c r="O73" s="59">
        <f>IF(E73&lt;&gt;"",VLOOKUP(E73,$P180:$Q211,2,FALSE),"-")</f>
        <v/>
      </c>
      <c r="P73" s="50">
        <f>IF(OR(E73="Manutenção Interface",E73="Paginas Estáticas"),J73*O73,
IF(OR(D73="",E73=""),"",
N73*O73))</f>
        <v/>
      </c>
      <c r="Q73" s="21" t="n"/>
      <c r="S73" s="69">
        <f>IF(OR(M73="Baixa",E73="Manutenção Interface",E73="Paginas Estáticas"),1,0)</f>
        <v/>
      </c>
      <c r="T73" s="69">
        <f>IF(OR(M73="Média",M73="Alta"),1,0)</f>
        <v/>
      </c>
    </row>
    <row r="74" ht="16.5" customHeight="1" s="30">
      <c r="B74" s="105" t="n"/>
      <c r="C74" s="101" t="n"/>
      <c r="D74" s="19" t="n"/>
      <c r="E74" s="57" t="n"/>
      <c r="F74" s="57" t="n"/>
      <c r="G74" s="57" t="n"/>
      <c r="H74" s="57" t="n"/>
      <c r="I74" s="57" t="n"/>
      <c r="J74" s="57" t="n"/>
      <c r="K74" s="57">
        <f>CONCATENATE(D74,L74)</f>
        <v/>
      </c>
      <c r="L74" s="57">
        <f>IF(OR(ISBLANK(F74),ISBLANK(H74)),IF(OR(D74="ALI",D74="AIE"),"L",IF(ISBLANK(D74),"","A")),IF(D74="EE",IF(H74&gt;=3,IF(F74&gt;=5,"H","A"),IF(H74&gt;=2,IF(F74&gt;=16,"H",IF(F74&lt;=4,"L","A")),IF(F74&lt;=15,"L","A"))),IF(OR(D74="SE",D74="CE"),IF(H74&gt;=4,IF(F74&gt;=6,"H","A"),IF(H74&gt;=2,IF(F74&gt;=20,"H",IF(F74&lt;=5,"L","A")),IF(F74&lt;=19,"L","A"))),IF(OR(D74="ALI",D74="AIE"),IF(H74&gt;=6,IF(F74&gt;=20,"H","A"),IF(H74&gt;=2,IF(F74&gt;=51,"H",IF(F74&lt;=19,"L","A")),IF(F74&lt;=50,"L","A")))))))</f>
        <v/>
      </c>
      <c r="M74" s="20">
        <f>IF(L74="L","Baixa",IF(L74="A","Média",IF(L74="","","Alta")))</f>
        <v/>
      </c>
      <c r="N74" s="21">
        <f>IF(ISBLANK(D74),"",IF(D74="ALI",IF(L74="L",7,IF(L74="A",10,15)),IF(D74="AIE",IF(L74="L",5,IF(L74="A",7,10)),IF(D74="SE",IF(L74="L",4,IF(L74="A",5,7)),IF(OR(D74="EE",D74="CE"),IF(L74="L",3,IF(L74="A",4,6)))))))</f>
        <v/>
      </c>
      <c r="O74" s="59">
        <f>IF(E74&lt;&gt;"",VLOOKUP(E74,$P180:$Q211,2,FALSE),"-")</f>
        <v/>
      </c>
      <c r="P74" s="50">
        <f>IF(OR(E74="Manutenção Interface",E74="Paginas Estáticas"),J74*O74,
IF(OR(D74="",E74=""),"",
N74*O74))</f>
        <v/>
      </c>
      <c r="Q74" s="21" t="n"/>
      <c r="S74" s="69">
        <f>IF(OR(M74="Baixa",E74="Manutenção Interface",E74="Paginas Estáticas"),1,0)</f>
        <v/>
      </c>
      <c r="T74" s="69">
        <f>IF(OR(M74="Média",M74="Alta"),1,0)</f>
        <v/>
      </c>
    </row>
    <row r="75" ht="16.5" customHeight="1" s="30">
      <c r="B75" s="105" t="n"/>
      <c r="C75" s="101" t="n"/>
      <c r="D75" s="19" t="n"/>
      <c r="E75" s="57" t="n"/>
      <c r="F75" s="57" t="n"/>
      <c r="G75" s="57" t="n"/>
      <c r="H75" s="57" t="n"/>
      <c r="I75" s="57" t="n"/>
      <c r="J75" s="57" t="n"/>
      <c r="K75" s="57">
        <f>CONCATENATE(D75,L75)</f>
        <v/>
      </c>
      <c r="L75" s="57">
        <f>IF(OR(ISBLANK(F75),ISBLANK(H75)),IF(OR(D75="ALI",D75="AIE"),"L",IF(ISBLANK(D75),"","A")),IF(D75="EE",IF(H75&gt;=3,IF(F75&gt;=5,"H","A"),IF(H75&gt;=2,IF(F75&gt;=16,"H",IF(F75&lt;=4,"L","A")),IF(F75&lt;=15,"L","A"))),IF(OR(D75="SE",D75="CE"),IF(H75&gt;=4,IF(F75&gt;=6,"H","A"),IF(H75&gt;=2,IF(F75&gt;=20,"H",IF(F75&lt;=5,"L","A")),IF(F75&lt;=19,"L","A"))),IF(OR(D75="ALI",D75="AIE"),IF(H75&gt;=6,IF(F75&gt;=20,"H","A"),IF(H75&gt;=2,IF(F75&gt;=51,"H",IF(F75&lt;=19,"L","A")),IF(F75&lt;=50,"L","A")))))))</f>
        <v/>
      </c>
      <c r="M75" s="20">
        <f>IF(L75="L","Baixa",IF(L75="A","Média",IF(L75="","","Alta")))</f>
        <v/>
      </c>
      <c r="N75" s="21">
        <f>IF(ISBLANK(D75),"",IF(D75="ALI",IF(L75="L",7,IF(L75="A",10,15)),IF(D75="AIE",IF(L75="L",5,IF(L75="A",7,10)),IF(D75="SE",IF(L75="L",4,IF(L75="A",5,7)),IF(OR(D75="EE",D75="CE"),IF(L75="L",3,IF(L75="A",4,6)))))))</f>
        <v/>
      </c>
      <c r="O75" s="59">
        <f>IF(E75&lt;&gt;"",VLOOKUP(E75,$P180:$Q211,2,FALSE),"-")</f>
        <v/>
      </c>
      <c r="P75" s="50">
        <f>IF(OR(E75="Manutenção Interface",E75="Paginas Estáticas"),J75*O75,
IF(OR(D75="",E75=""),"",
N75*O75))</f>
        <v/>
      </c>
      <c r="Q75" s="21" t="n"/>
      <c r="S75" s="69">
        <f>IF(OR(M75="Baixa",E75="Manutenção Interface",E75="Paginas Estáticas"),1,0)</f>
        <v/>
      </c>
      <c r="T75" s="69">
        <f>IF(OR(M75="Média",M75="Alta"),1,0)</f>
        <v/>
      </c>
    </row>
    <row r="76" ht="16.5" customHeight="1" s="30">
      <c r="B76" s="105" t="n"/>
      <c r="C76" s="101" t="n"/>
      <c r="D76" s="19" t="n"/>
      <c r="E76" s="57" t="n"/>
      <c r="F76" s="57" t="n"/>
      <c r="G76" s="57" t="n"/>
      <c r="H76" s="57" t="n"/>
      <c r="I76" s="57" t="n"/>
      <c r="J76" s="57" t="n"/>
      <c r="K76" s="57">
        <f>CONCATENATE(D76,L76)</f>
        <v/>
      </c>
      <c r="L76" s="57">
        <f>IF(OR(ISBLANK(F76),ISBLANK(H76)),IF(OR(D76="ALI",D76="AIE"),"L",IF(ISBLANK(D76),"","A")),IF(D76="EE",IF(H76&gt;=3,IF(F76&gt;=5,"H","A"),IF(H76&gt;=2,IF(F76&gt;=16,"H",IF(F76&lt;=4,"L","A")),IF(F76&lt;=15,"L","A"))),IF(OR(D76="SE",D76="CE"),IF(H76&gt;=4,IF(F76&gt;=6,"H","A"),IF(H76&gt;=2,IF(F76&gt;=20,"H",IF(F76&lt;=5,"L","A")),IF(F76&lt;=19,"L","A"))),IF(OR(D76="ALI",D76="AIE"),IF(H76&gt;=6,IF(F76&gt;=20,"H","A"),IF(H76&gt;=2,IF(F76&gt;=51,"H",IF(F76&lt;=19,"L","A")),IF(F76&lt;=50,"L","A")))))))</f>
        <v/>
      </c>
      <c r="M76" s="20">
        <f>IF(L76="L","Baixa",IF(L76="A","Média",IF(L76="","","Alta")))</f>
        <v/>
      </c>
      <c r="N76" s="21">
        <f>IF(ISBLANK(D76),"",IF(D76="ALI",IF(L76="L",7,IF(L76="A",10,15)),IF(D76="AIE",IF(L76="L",5,IF(L76="A",7,10)),IF(D76="SE",IF(L76="L",4,IF(L76="A",5,7)),IF(OR(D76="EE",D76="CE"),IF(L76="L",3,IF(L76="A",4,6)))))))</f>
        <v/>
      </c>
      <c r="O76" s="59">
        <f>IF(E76&lt;&gt;"",VLOOKUP(E76,$P180:$Q211,2,FALSE),"-")</f>
        <v/>
      </c>
      <c r="P76" s="50">
        <f>IF(OR(E76="Manutenção Interface",E76="Paginas Estáticas"),J76*O76,
IF(OR(D76="",E76=""),"",
N76*O76))</f>
        <v/>
      </c>
      <c r="Q76" s="21" t="n"/>
      <c r="S76" s="69">
        <f>IF(OR(M76="Baixa",E76="Manutenção Interface",E76="Paginas Estáticas"),1,0)</f>
        <v/>
      </c>
      <c r="T76" s="69">
        <f>IF(OR(M76="Média",M76="Alta"),1,0)</f>
        <v/>
      </c>
    </row>
    <row r="77" ht="16.5" customHeight="1" s="30">
      <c r="B77" s="105" t="n"/>
      <c r="C77" s="101" t="n"/>
      <c r="D77" s="19" t="n"/>
      <c r="E77" s="57" t="n"/>
      <c r="F77" s="57" t="n"/>
      <c r="G77" s="57" t="n"/>
      <c r="H77" s="57" t="n"/>
      <c r="I77" s="57" t="n"/>
      <c r="J77" s="57" t="n"/>
      <c r="K77" s="57">
        <f>CONCATENATE(D77,L77)</f>
        <v/>
      </c>
      <c r="L77" s="57">
        <f>IF(OR(ISBLANK(F77),ISBLANK(H77)),IF(OR(D77="ALI",D77="AIE"),"L",IF(ISBLANK(D77),"","A")),IF(D77="EE",IF(H77&gt;=3,IF(F77&gt;=5,"H","A"),IF(H77&gt;=2,IF(F77&gt;=16,"H",IF(F77&lt;=4,"L","A")),IF(F77&lt;=15,"L","A"))),IF(OR(D77="SE",D77="CE"),IF(H77&gt;=4,IF(F77&gt;=6,"H","A"),IF(H77&gt;=2,IF(F77&gt;=20,"H",IF(F77&lt;=5,"L","A")),IF(F77&lt;=19,"L","A"))),IF(OR(D77="ALI",D77="AIE"),IF(H77&gt;=6,IF(F77&gt;=20,"H","A"),IF(H77&gt;=2,IF(F77&gt;=51,"H",IF(F77&lt;=19,"L","A")),IF(F77&lt;=50,"L","A")))))))</f>
        <v/>
      </c>
      <c r="M77" s="20">
        <f>IF(L77="L","Baixa",IF(L77="A","Média",IF(L77="","","Alta")))</f>
        <v/>
      </c>
      <c r="N77" s="21">
        <f>IF(ISBLANK(D77),"",IF(D77="ALI",IF(L77="L",7,IF(L77="A",10,15)),IF(D77="AIE",IF(L77="L",5,IF(L77="A",7,10)),IF(D77="SE",IF(L77="L",4,IF(L77="A",5,7)),IF(OR(D77="EE",D77="CE"),IF(L77="L",3,IF(L77="A",4,6)))))))</f>
        <v/>
      </c>
      <c r="O77" s="59">
        <f>IF(E77&lt;&gt;"",VLOOKUP(E77,$P180:$Q211,2,FALSE),"-")</f>
        <v/>
      </c>
      <c r="P77" s="50">
        <f>IF(OR(E77="Manutenção Interface",E77="Paginas Estáticas"),J77*O77,
IF(OR(D77="",E77=""),"",
N77*O77))</f>
        <v/>
      </c>
      <c r="Q77" s="21" t="n"/>
      <c r="S77" s="69">
        <f>IF(OR(M77="Baixa",E77="Manutenção Interface",E77="Paginas Estáticas"),1,0)</f>
        <v/>
      </c>
      <c r="T77" s="69">
        <f>IF(OR(M77="Média",M77="Alta"),1,0)</f>
        <v/>
      </c>
    </row>
    <row r="78" ht="16.5" customHeight="1" s="30">
      <c r="B78" s="105" t="n"/>
      <c r="C78" s="101" t="n"/>
      <c r="D78" s="19" t="n"/>
      <c r="E78" s="57" t="n"/>
      <c r="F78" s="57" t="n"/>
      <c r="G78" s="57" t="n"/>
      <c r="H78" s="57" t="n"/>
      <c r="I78" s="57" t="n"/>
      <c r="J78" s="57" t="n"/>
      <c r="K78" s="57">
        <f>CONCATENATE(D78,L78)</f>
        <v/>
      </c>
      <c r="L78" s="57">
        <f>IF(OR(ISBLANK(F78),ISBLANK(H78)),IF(OR(D78="ALI",D78="AIE"),"L",IF(ISBLANK(D78),"","A")),IF(D78="EE",IF(H78&gt;=3,IF(F78&gt;=5,"H","A"),IF(H78&gt;=2,IF(F78&gt;=16,"H",IF(F78&lt;=4,"L","A")),IF(F78&lt;=15,"L","A"))),IF(OR(D78="SE",D78="CE"),IF(H78&gt;=4,IF(F78&gt;=6,"H","A"),IF(H78&gt;=2,IF(F78&gt;=20,"H",IF(F78&lt;=5,"L","A")),IF(F78&lt;=19,"L","A"))),IF(OR(D78="ALI",D78="AIE"),IF(H78&gt;=6,IF(F78&gt;=20,"H","A"),IF(H78&gt;=2,IF(F78&gt;=51,"H",IF(F78&lt;=19,"L","A")),IF(F78&lt;=50,"L","A")))))))</f>
        <v/>
      </c>
      <c r="M78" s="20">
        <f>IF(L78="L","Baixa",IF(L78="A","Média",IF(L78="","","Alta")))</f>
        <v/>
      </c>
      <c r="N78" s="21">
        <f>IF(ISBLANK(D78),"",IF(D78="ALI",IF(L78="L",7,IF(L78="A",10,15)),IF(D78="AIE",IF(L78="L",5,IF(L78="A",7,10)),IF(D78="SE",IF(L78="L",4,IF(L78="A",5,7)),IF(OR(D78="EE",D78="CE"),IF(L78="L",3,IF(L78="A",4,6)))))))</f>
        <v/>
      </c>
      <c r="O78" s="59">
        <f>IF(E78&lt;&gt;"",VLOOKUP(E78,$P180:$Q211,2,FALSE),"-")</f>
        <v/>
      </c>
      <c r="P78" s="50">
        <f>IF(OR(E78="Manutenção Interface",E78="Paginas Estáticas"),J78*O78,
IF(OR(D78="",E78=""),"",
N78*O78))</f>
        <v/>
      </c>
      <c r="Q78" s="21" t="n"/>
      <c r="S78" s="69">
        <f>IF(OR(M78="Baixa",E78="Manutenção Interface",E78="Paginas Estáticas"),1,0)</f>
        <v/>
      </c>
      <c r="T78" s="69">
        <f>IF(OR(M78="Média",M78="Alta"),1,0)</f>
        <v/>
      </c>
    </row>
    <row r="79" ht="16.5" customHeight="1" s="30">
      <c r="B79" s="105" t="n"/>
      <c r="C79" s="101" t="n"/>
      <c r="D79" s="19" t="n"/>
      <c r="E79" s="57" t="n"/>
      <c r="F79" s="57" t="n"/>
      <c r="G79" s="57" t="n"/>
      <c r="H79" s="57" t="n"/>
      <c r="I79" s="57" t="n"/>
      <c r="J79" s="57" t="n"/>
      <c r="K79" s="57">
        <f>CONCATENATE(D79,L79)</f>
        <v/>
      </c>
      <c r="L79" s="57">
        <f>IF(OR(ISBLANK(F79),ISBLANK(H79)),IF(OR(D79="ALI",D79="AIE"),"L",IF(ISBLANK(D79),"","A")),IF(D79="EE",IF(H79&gt;=3,IF(F79&gt;=5,"H","A"),IF(H79&gt;=2,IF(F79&gt;=16,"H",IF(F79&lt;=4,"L","A")),IF(F79&lt;=15,"L","A"))),IF(OR(D79="SE",D79="CE"),IF(H79&gt;=4,IF(F79&gt;=6,"H","A"),IF(H79&gt;=2,IF(F79&gt;=20,"H",IF(F79&lt;=5,"L","A")),IF(F79&lt;=19,"L","A"))),IF(OR(D79="ALI",D79="AIE"),IF(H79&gt;=6,IF(F79&gt;=20,"H","A"),IF(H79&gt;=2,IF(F79&gt;=51,"H",IF(F79&lt;=19,"L","A")),IF(F79&lt;=50,"L","A")))))))</f>
        <v/>
      </c>
      <c r="M79" s="20">
        <f>IF(L79="L","Baixa",IF(L79="A","Média",IF(L79="","","Alta")))</f>
        <v/>
      </c>
      <c r="N79" s="21">
        <f>IF(ISBLANK(D79),"",IF(D79="ALI",IF(L79="L",7,IF(L79="A",10,15)),IF(D79="AIE",IF(L79="L",5,IF(L79="A",7,10)),IF(D79="SE",IF(L79="L",4,IF(L79="A",5,7)),IF(OR(D79="EE",D79="CE"),IF(L79="L",3,IF(L79="A",4,6)))))))</f>
        <v/>
      </c>
      <c r="O79" s="59">
        <f>IF(E79&lt;&gt;"",VLOOKUP(E79,$P180:$Q211,2,FALSE),"-")</f>
        <v/>
      </c>
      <c r="P79" s="50">
        <f>IF(OR(E79="Manutenção Interface",E79="Paginas Estáticas"),J79*O79,
IF(OR(D79="",E79=""),"",
N79*O79))</f>
        <v/>
      </c>
      <c r="Q79" s="21" t="n"/>
      <c r="S79" s="69">
        <f>IF(OR(M79="Baixa",E79="Manutenção Interface",E79="Paginas Estáticas"),1,0)</f>
        <v/>
      </c>
      <c r="T79" s="69">
        <f>IF(OR(M79="Média",M79="Alta"),1,0)</f>
        <v/>
      </c>
    </row>
    <row r="80" ht="16.5" customHeight="1" s="30">
      <c r="B80" s="105" t="n"/>
      <c r="C80" s="101" t="n"/>
      <c r="D80" s="19" t="n"/>
      <c r="E80" s="57" t="n"/>
      <c r="F80" s="57" t="n"/>
      <c r="G80" s="57" t="n"/>
      <c r="H80" s="57" t="n"/>
      <c r="I80" s="57" t="n"/>
      <c r="J80" s="57" t="n"/>
      <c r="K80" s="57">
        <f>CONCATENATE(D80,L80)</f>
        <v/>
      </c>
      <c r="L80" s="57">
        <f>IF(OR(ISBLANK(F80),ISBLANK(H80)),IF(OR(D80="ALI",D80="AIE"),"L",IF(ISBLANK(D80),"","A")),IF(D80="EE",IF(H80&gt;=3,IF(F80&gt;=5,"H","A"),IF(H80&gt;=2,IF(F80&gt;=16,"H",IF(F80&lt;=4,"L","A")),IF(F80&lt;=15,"L","A"))),IF(OR(D80="SE",D80="CE"),IF(H80&gt;=4,IF(F80&gt;=6,"H","A"),IF(H80&gt;=2,IF(F80&gt;=20,"H",IF(F80&lt;=5,"L","A")),IF(F80&lt;=19,"L","A"))),IF(OR(D80="ALI",D80="AIE"),IF(H80&gt;=6,IF(F80&gt;=20,"H","A"),IF(H80&gt;=2,IF(F80&gt;=51,"H",IF(F80&lt;=19,"L","A")),IF(F80&lt;=50,"L","A")))))))</f>
        <v/>
      </c>
      <c r="M80" s="20">
        <f>IF(L80="L","Baixa",IF(L80="A","Média",IF(L80="","","Alta")))</f>
        <v/>
      </c>
      <c r="N80" s="21">
        <f>IF(ISBLANK(D80),"",IF(D80="ALI",IF(L80="L",7,IF(L80="A",10,15)),IF(D80="AIE",IF(L80="L",5,IF(L80="A",7,10)),IF(D80="SE",IF(L80="L",4,IF(L80="A",5,7)),IF(OR(D80="EE",D80="CE"),IF(L80="L",3,IF(L80="A",4,6)))))))</f>
        <v/>
      </c>
      <c r="O80" s="59">
        <f>IF(E80&lt;&gt;"",VLOOKUP(E80,$P180:$Q211,2,FALSE),"-")</f>
        <v/>
      </c>
      <c r="P80" s="50">
        <f>IF(OR(E80="Manutenção Interface",E80="Paginas Estáticas"),J80*O80,
IF(OR(D80="",E80=""),"",
N80*O80))</f>
        <v/>
      </c>
      <c r="Q80" s="21" t="n"/>
      <c r="S80" s="69">
        <f>IF(OR(M80="Baixa",E80="Manutenção Interface",E80="Paginas Estáticas"),1,0)</f>
        <v/>
      </c>
      <c r="T80" s="69">
        <f>IF(OR(M80="Média",M80="Alta"),1,0)</f>
        <v/>
      </c>
    </row>
    <row r="81" ht="16.5" customHeight="1" s="30">
      <c r="B81" s="105" t="n"/>
      <c r="C81" s="101" t="n"/>
      <c r="D81" s="19" t="n"/>
      <c r="E81" s="57" t="n"/>
      <c r="F81" s="57" t="n"/>
      <c r="G81" s="57" t="n"/>
      <c r="H81" s="57" t="n"/>
      <c r="I81" s="57" t="n"/>
      <c r="J81" s="57" t="n"/>
      <c r="K81" s="57">
        <f>CONCATENATE(D81,L81)</f>
        <v/>
      </c>
      <c r="L81" s="57">
        <f>IF(OR(ISBLANK(F81),ISBLANK(H81)),IF(OR(D81="ALI",D81="AIE"),"L",IF(ISBLANK(D81),"","A")),IF(D81="EE",IF(H81&gt;=3,IF(F81&gt;=5,"H","A"),IF(H81&gt;=2,IF(F81&gt;=16,"H",IF(F81&lt;=4,"L","A")),IF(F81&lt;=15,"L","A"))),IF(OR(D81="SE",D81="CE"),IF(H81&gt;=4,IF(F81&gt;=6,"H","A"),IF(H81&gt;=2,IF(F81&gt;=20,"H",IF(F81&lt;=5,"L","A")),IF(F81&lt;=19,"L","A"))),IF(OR(D81="ALI",D81="AIE"),IF(H81&gt;=6,IF(F81&gt;=20,"H","A"),IF(H81&gt;=2,IF(F81&gt;=51,"H",IF(F81&lt;=19,"L","A")),IF(F81&lt;=50,"L","A")))))))</f>
        <v/>
      </c>
      <c r="M81" s="20">
        <f>IF(L81="L","Baixa",IF(L81="A","Média",IF(L81="","","Alta")))</f>
        <v/>
      </c>
      <c r="N81" s="21">
        <f>IF(ISBLANK(D81),"",IF(D81="ALI",IF(L81="L",7,IF(L81="A",10,15)),IF(D81="AIE",IF(L81="L",5,IF(L81="A",7,10)),IF(D81="SE",IF(L81="L",4,IF(L81="A",5,7)),IF(OR(D81="EE",D81="CE"),IF(L81="L",3,IF(L81="A",4,6)))))))</f>
        <v/>
      </c>
      <c r="O81" s="59">
        <f>IF(E81&lt;&gt;"",VLOOKUP(E81,$P180:$Q211,2,FALSE),"-")</f>
        <v/>
      </c>
      <c r="P81" s="50">
        <f>IF(OR(E81="Manutenção Interface",E81="Paginas Estáticas"),J81*O81,
IF(OR(D81="",E81=""),"",
N81*O81))</f>
        <v/>
      </c>
      <c r="Q81" s="21" t="n"/>
      <c r="S81" s="69">
        <f>IF(OR(M81="Baixa",E81="Manutenção Interface",E81="Paginas Estáticas"),1,0)</f>
        <v/>
      </c>
      <c r="T81" s="69">
        <f>IF(OR(M81="Média",M81="Alta"),1,0)</f>
        <v/>
      </c>
    </row>
    <row r="82" ht="16.5" customHeight="1" s="30">
      <c r="B82" s="105" t="n"/>
      <c r="C82" s="101" t="n"/>
      <c r="D82" s="19" t="n"/>
      <c r="E82" s="57" t="n"/>
      <c r="F82" s="57" t="n"/>
      <c r="G82" s="57" t="n"/>
      <c r="H82" s="57" t="n"/>
      <c r="I82" s="57" t="n"/>
      <c r="J82" s="57" t="n"/>
      <c r="K82" s="57">
        <f>CONCATENATE(D82,L82)</f>
        <v/>
      </c>
      <c r="L82" s="57">
        <f>IF(OR(ISBLANK(F82),ISBLANK(H82)),IF(OR(D82="ALI",D82="AIE"),"L",IF(ISBLANK(D82),"","A")),IF(D82="EE",IF(H82&gt;=3,IF(F82&gt;=5,"H","A"),IF(H82&gt;=2,IF(F82&gt;=16,"H",IF(F82&lt;=4,"L","A")),IF(F82&lt;=15,"L","A"))),IF(OR(D82="SE",D82="CE"),IF(H82&gt;=4,IF(F82&gt;=6,"H","A"),IF(H82&gt;=2,IF(F82&gt;=20,"H",IF(F82&lt;=5,"L","A")),IF(F82&lt;=19,"L","A"))),IF(OR(D82="ALI",D82="AIE"),IF(H82&gt;=6,IF(F82&gt;=20,"H","A"),IF(H82&gt;=2,IF(F82&gt;=51,"H",IF(F82&lt;=19,"L","A")),IF(F82&lt;=50,"L","A")))))))</f>
        <v/>
      </c>
      <c r="M82" s="20">
        <f>IF(L82="L","Baixa",IF(L82="A","Média",IF(L82="","","Alta")))</f>
        <v/>
      </c>
      <c r="N82" s="21">
        <f>IF(ISBLANK(D82),"",IF(D82="ALI",IF(L82="L",7,IF(L82="A",10,15)),IF(D82="AIE",IF(L82="L",5,IF(L82="A",7,10)),IF(D82="SE",IF(L82="L",4,IF(L82="A",5,7)),IF(OR(D82="EE",D82="CE"),IF(L82="L",3,IF(L82="A",4,6)))))))</f>
        <v/>
      </c>
      <c r="O82" s="59">
        <f>IF(E82&lt;&gt;"",VLOOKUP(E82,$P180:$Q211,2,FALSE),"-")</f>
        <v/>
      </c>
      <c r="P82" s="50">
        <f>IF(OR(E82="Manutenção Interface",E82="Paginas Estáticas"),J82*O82,
IF(OR(D82="",E82=""),"",
N82*O82))</f>
        <v/>
      </c>
      <c r="Q82" s="21" t="n"/>
      <c r="S82" s="69">
        <f>IF(OR(M82="Baixa",E82="Manutenção Interface",E82="Paginas Estáticas"),1,0)</f>
        <v/>
      </c>
      <c r="T82" s="69">
        <f>IF(OR(M82="Média",M82="Alta"),1,0)</f>
        <v/>
      </c>
    </row>
    <row r="83" ht="16.5" customHeight="1" s="30">
      <c r="B83" s="105" t="n"/>
      <c r="C83" s="101" t="n"/>
      <c r="D83" s="19" t="n"/>
      <c r="E83" s="57" t="n"/>
      <c r="F83" s="57" t="n"/>
      <c r="G83" s="57" t="n"/>
      <c r="H83" s="57" t="n"/>
      <c r="I83" s="57" t="n"/>
      <c r="J83" s="57" t="n"/>
      <c r="K83" s="57">
        <f>CONCATENATE(D83,L83)</f>
        <v/>
      </c>
      <c r="L83" s="57">
        <f>IF(OR(ISBLANK(F83),ISBLANK(H83)),IF(OR(D83="ALI",D83="AIE"),"L",IF(ISBLANK(D83),"","A")),IF(D83="EE",IF(H83&gt;=3,IF(F83&gt;=5,"H","A"),IF(H83&gt;=2,IF(F83&gt;=16,"H",IF(F83&lt;=4,"L","A")),IF(F83&lt;=15,"L","A"))),IF(OR(D83="SE",D83="CE"),IF(H83&gt;=4,IF(F83&gt;=6,"H","A"),IF(H83&gt;=2,IF(F83&gt;=20,"H",IF(F83&lt;=5,"L","A")),IF(F83&lt;=19,"L","A"))),IF(OR(D83="ALI",D83="AIE"),IF(H83&gt;=6,IF(F83&gt;=20,"H","A"),IF(H83&gt;=2,IF(F83&gt;=51,"H",IF(F83&lt;=19,"L","A")),IF(F83&lt;=50,"L","A")))))))</f>
        <v/>
      </c>
      <c r="M83" s="20">
        <f>IF(L83="L","Baixa",IF(L83="A","Média",IF(L83="","","Alta")))</f>
        <v/>
      </c>
      <c r="N83" s="21">
        <f>IF(ISBLANK(D83),"",IF(D83="ALI",IF(L83="L",7,IF(L83="A",10,15)),IF(D83="AIE",IF(L83="L",5,IF(L83="A",7,10)),IF(D83="SE",IF(L83="L",4,IF(L83="A",5,7)),IF(OR(D83="EE",D83="CE"),IF(L83="L",3,IF(L83="A",4,6)))))))</f>
        <v/>
      </c>
      <c r="O83" s="59">
        <f>IF(E83&lt;&gt;"",VLOOKUP(E83,$P180:$Q211,2,FALSE),"-")</f>
        <v/>
      </c>
      <c r="P83" s="50">
        <f>IF(OR(E83="Manutenção Interface",E83="Paginas Estáticas"),J83*O83,
IF(OR(D83="",E83=""),"",
N83*O83))</f>
        <v/>
      </c>
      <c r="Q83" s="21" t="n"/>
      <c r="S83" s="69">
        <f>IF(OR(M83="Baixa",E83="Manutenção Interface",E83="Paginas Estáticas"),1,0)</f>
        <v/>
      </c>
      <c r="T83" s="69">
        <f>IF(OR(M83="Média",M83="Alta"),1,0)</f>
        <v/>
      </c>
    </row>
    <row r="84" ht="16.5" customHeight="1" s="30">
      <c r="B84" s="105" t="n"/>
      <c r="C84" s="101" t="n"/>
      <c r="D84" s="19" t="n"/>
      <c r="E84" s="57" t="n"/>
      <c r="F84" s="57" t="n"/>
      <c r="G84" s="57" t="n"/>
      <c r="H84" s="57" t="n"/>
      <c r="I84" s="57" t="n"/>
      <c r="J84" s="57" t="n"/>
      <c r="K84" s="57">
        <f>CONCATENATE(D84,L84)</f>
        <v/>
      </c>
      <c r="L84" s="57">
        <f>IF(OR(ISBLANK(F84),ISBLANK(H84)),IF(OR(D84="ALI",D84="AIE"),"L",IF(ISBLANK(D84),"","A")),IF(D84="EE",IF(H84&gt;=3,IF(F84&gt;=5,"H","A"),IF(H84&gt;=2,IF(F84&gt;=16,"H",IF(F84&lt;=4,"L","A")),IF(F84&lt;=15,"L","A"))),IF(OR(D84="SE",D84="CE"),IF(H84&gt;=4,IF(F84&gt;=6,"H","A"),IF(H84&gt;=2,IF(F84&gt;=20,"H",IF(F84&lt;=5,"L","A")),IF(F84&lt;=19,"L","A"))),IF(OR(D84="ALI",D84="AIE"),IF(H84&gt;=6,IF(F84&gt;=20,"H","A"),IF(H84&gt;=2,IF(F84&gt;=51,"H",IF(F84&lt;=19,"L","A")),IF(F84&lt;=50,"L","A")))))))</f>
        <v/>
      </c>
      <c r="M84" s="20">
        <f>IF(L84="L","Baixa",IF(L84="A","Média",IF(L84="","","Alta")))</f>
        <v/>
      </c>
      <c r="N84" s="21">
        <f>IF(ISBLANK(D84),"",IF(D84="ALI",IF(L84="L",7,IF(L84="A",10,15)),IF(D84="AIE",IF(L84="L",5,IF(L84="A",7,10)),IF(D84="SE",IF(L84="L",4,IF(L84="A",5,7)),IF(OR(D84="EE",D84="CE"),IF(L84="L",3,IF(L84="A",4,6)))))))</f>
        <v/>
      </c>
      <c r="O84" s="59">
        <f>IF(E84&lt;&gt;"",VLOOKUP(E84,$P180:$Q211,2,FALSE),"-")</f>
        <v/>
      </c>
      <c r="P84" s="50">
        <f>IF(OR(E84="Manutenção Interface",E84="Paginas Estáticas"),J84*O84,
IF(OR(D84="",E84=""),"",
N84*O84))</f>
        <v/>
      </c>
      <c r="Q84" s="21" t="n"/>
      <c r="S84" s="69">
        <f>IF(OR(M84="Baixa",E84="Manutenção Interface",E84="Paginas Estáticas"),1,0)</f>
        <v/>
      </c>
      <c r="T84" s="69">
        <f>IF(OR(M84="Média",M84="Alta"),1,0)</f>
        <v/>
      </c>
    </row>
    <row r="85" ht="16.5" customHeight="1" s="30">
      <c r="B85" s="105" t="n"/>
      <c r="C85" s="101" t="n"/>
      <c r="D85" s="19" t="n"/>
      <c r="E85" s="57" t="n"/>
      <c r="F85" s="57" t="n"/>
      <c r="G85" s="57" t="n"/>
      <c r="H85" s="57" t="n"/>
      <c r="I85" s="57" t="n"/>
      <c r="J85" s="57" t="n"/>
      <c r="K85" s="57">
        <f>CONCATENATE(D85,L85)</f>
        <v/>
      </c>
      <c r="L85" s="57">
        <f>IF(OR(ISBLANK(F85),ISBLANK(H85)),IF(OR(D85="ALI",D85="AIE"),"L",IF(ISBLANK(D85),"","A")),IF(D85="EE",IF(H85&gt;=3,IF(F85&gt;=5,"H","A"),IF(H85&gt;=2,IF(F85&gt;=16,"H",IF(F85&lt;=4,"L","A")),IF(F85&lt;=15,"L","A"))),IF(OR(D85="SE",D85="CE"),IF(H85&gt;=4,IF(F85&gt;=6,"H","A"),IF(H85&gt;=2,IF(F85&gt;=20,"H",IF(F85&lt;=5,"L","A")),IF(F85&lt;=19,"L","A"))),IF(OR(D85="ALI",D85="AIE"),IF(H85&gt;=6,IF(F85&gt;=20,"H","A"),IF(H85&gt;=2,IF(F85&gt;=51,"H",IF(F85&lt;=19,"L","A")),IF(F85&lt;=50,"L","A")))))))</f>
        <v/>
      </c>
      <c r="M85" s="20">
        <f>IF(L85="L","Baixa",IF(L85="A","Média",IF(L85="","","Alta")))</f>
        <v/>
      </c>
      <c r="N85" s="21">
        <f>IF(ISBLANK(D85),"",IF(D85="ALI",IF(L85="L",7,IF(L85="A",10,15)),IF(D85="AIE",IF(L85="L",5,IF(L85="A",7,10)),IF(D85="SE",IF(L85="L",4,IF(L85="A",5,7)),IF(OR(D85="EE",D85="CE"),IF(L85="L",3,IF(L85="A",4,6)))))))</f>
        <v/>
      </c>
      <c r="O85" s="59">
        <f>IF(E85&lt;&gt;"",VLOOKUP(E85,$P180:$Q211,2,FALSE),"-")</f>
        <v/>
      </c>
      <c r="P85" s="50">
        <f>IF(OR(E85="Manutenção Interface",E85="Paginas Estáticas"),J85*O85,
IF(OR(D85="",E85=""),"",
N85*O85))</f>
        <v/>
      </c>
      <c r="Q85" s="21" t="n"/>
      <c r="S85" s="69">
        <f>IF(OR(M85="Baixa",E85="Manutenção Interface",E85="Paginas Estáticas"),1,0)</f>
        <v/>
      </c>
      <c r="T85" s="69">
        <f>IF(OR(M85="Média",M85="Alta"),1,0)</f>
        <v/>
      </c>
    </row>
    <row r="86" ht="16.5" customHeight="1" s="30">
      <c r="B86" s="105" t="n"/>
      <c r="C86" s="101" t="n"/>
      <c r="D86" s="19" t="n"/>
      <c r="E86" s="57" t="n"/>
      <c r="F86" s="57" t="n"/>
      <c r="G86" s="57" t="n"/>
      <c r="H86" s="57" t="n"/>
      <c r="I86" s="57" t="n"/>
      <c r="J86" s="57" t="n"/>
      <c r="K86" s="57">
        <f>CONCATENATE(D86,L86)</f>
        <v/>
      </c>
      <c r="L86" s="57">
        <f>IF(OR(ISBLANK(F86),ISBLANK(H86)),IF(OR(D86="ALI",D86="AIE"),"L",IF(ISBLANK(D86),"","A")),IF(D86="EE",IF(H86&gt;=3,IF(F86&gt;=5,"H","A"),IF(H86&gt;=2,IF(F86&gt;=16,"H",IF(F86&lt;=4,"L","A")),IF(F86&lt;=15,"L","A"))),IF(OR(D86="SE",D86="CE"),IF(H86&gt;=4,IF(F86&gt;=6,"H","A"),IF(H86&gt;=2,IF(F86&gt;=20,"H",IF(F86&lt;=5,"L","A")),IF(F86&lt;=19,"L","A"))),IF(OR(D86="ALI",D86="AIE"),IF(H86&gt;=6,IF(F86&gt;=20,"H","A"),IF(H86&gt;=2,IF(F86&gt;=51,"H",IF(F86&lt;=19,"L","A")),IF(F86&lt;=50,"L","A")))))))</f>
        <v/>
      </c>
      <c r="M86" s="20">
        <f>IF(L86="L","Baixa",IF(L86="A","Média",IF(L86="","","Alta")))</f>
        <v/>
      </c>
      <c r="N86" s="21">
        <f>IF(ISBLANK(D86),"",IF(D86="ALI",IF(L86="L",7,IF(L86="A",10,15)),IF(D86="AIE",IF(L86="L",5,IF(L86="A",7,10)),IF(D86="SE",IF(L86="L",4,IF(L86="A",5,7)),IF(OR(D86="EE",D86="CE"),IF(L86="L",3,IF(L86="A",4,6)))))))</f>
        <v/>
      </c>
      <c r="O86" s="59">
        <f>IF(E86&lt;&gt;"",VLOOKUP(E86,$P180:$Q211,2,FALSE),"-")</f>
        <v/>
      </c>
      <c r="P86" s="50">
        <f>IF(OR(E86="Manutenção Interface",E86="Paginas Estáticas"),J86*O86,
IF(OR(D86="",E86=""),"",
N86*O86))</f>
        <v/>
      </c>
      <c r="Q86" s="21" t="n"/>
      <c r="S86" s="69">
        <f>IF(OR(M86="Baixa",E86="Manutenção Interface",E86="Paginas Estáticas"),1,0)</f>
        <v/>
      </c>
      <c r="T86" s="69">
        <f>IF(OR(M86="Média",M86="Alta"),1,0)</f>
        <v/>
      </c>
    </row>
    <row r="87" ht="16.5" customHeight="1" s="30">
      <c r="B87" s="105" t="n"/>
      <c r="C87" s="101" t="n"/>
      <c r="D87" s="19" t="n"/>
      <c r="E87" s="57" t="n"/>
      <c r="F87" s="57" t="n"/>
      <c r="G87" s="57" t="n"/>
      <c r="H87" s="57" t="n"/>
      <c r="I87" s="57" t="n"/>
      <c r="J87" s="57" t="n"/>
      <c r="K87" s="57">
        <f>CONCATENATE(D87,L87)</f>
        <v/>
      </c>
      <c r="L87" s="57">
        <f>IF(OR(ISBLANK(F87),ISBLANK(H87)),IF(OR(D87="ALI",D87="AIE"),"L",IF(ISBLANK(D87),"","A")),IF(D87="EE",IF(H87&gt;=3,IF(F87&gt;=5,"H","A"),IF(H87&gt;=2,IF(F87&gt;=16,"H",IF(F87&lt;=4,"L","A")),IF(F87&lt;=15,"L","A"))),IF(OR(D87="SE",D87="CE"),IF(H87&gt;=4,IF(F87&gt;=6,"H","A"),IF(H87&gt;=2,IF(F87&gt;=20,"H",IF(F87&lt;=5,"L","A")),IF(F87&lt;=19,"L","A"))),IF(OR(D87="ALI",D87="AIE"),IF(H87&gt;=6,IF(F87&gt;=20,"H","A"),IF(H87&gt;=2,IF(F87&gt;=51,"H",IF(F87&lt;=19,"L","A")),IF(F87&lt;=50,"L","A")))))))</f>
        <v/>
      </c>
      <c r="M87" s="20">
        <f>IF(L87="L","Baixa",IF(L87="A","Média",IF(L87="","","Alta")))</f>
        <v/>
      </c>
      <c r="N87" s="21">
        <f>IF(ISBLANK(D87),"",IF(D87="ALI",IF(L87="L",7,IF(L87="A",10,15)),IF(D87="AIE",IF(L87="L",5,IF(L87="A",7,10)),IF(D87="SE",IF(L87="L",4,IF(L87="A",5,7)),IF(OR(D87="EE",D87="CE"),IF(L87="L",3,IF(L87="A",4,6)))))))</f>
        <v/>
      </c>
      <c r="O87" s="59">
        <f>IF(E87&lt;&gt;"",VLOOKUP(E87,$P180:$Q211,2,FALSE),"-")</f>
        <v/>
      </c>
      <c r="P87" s="50">
        <f>IF(OR(E87="Manutenção Interface",E87="Paginas Estáticas"),J87*O87,
IF(OR(D87="",E87=""),"",
N87*O87))</f>
        <v/>
      </c>
      <c r="Q87" s="21" t="n"/>
      <c r="S87" s="69">
        <f>IF(OR(M87="Baixa",E87="Manutenção Interface",E87="Paginas Estáticas"),1,0)</f>
        <v/>
      </c>
      <c r="T87" s="69">
        <f>IF(OR(M87="Média",M87="Alta"),1,0)</f>
        <v/>
      </c>
    </row>
    <row r="88" ht="16.5" customHeight="1" s="30">
      <c r="B88" s="105" t="n"/>
      <c r="C88" s="101" t="n"/>
      <c r="D88" s="19" t="n"/>
      <c r="E88" s="57" t="n"/>
      <c r="F88" s="57" t="n"/>
      <c r="G88" s="57" t="n"/>
      <c r="H88" s="57" t="n"/>
      <c r="I88" s="57" t="n"/>
      <c r="J88" s="57" t="n"/>
      <c r="K88" s="57">
        <f>CONCATENATE(D88,L88)</f>
        <v/>
      </c>
      <c r="L88" s="57">
        <f>IF(OR(ISBLANK(F88),ISBLANK(H88)),IF(OR(D88="ALI",D88="AIE"),"L",IF(ISBLANK(D88),"","A")),IF(D88="EE",IF(H88&gt;=3,IF(F88&gt;=5,"H","A"),IF(H88&gt;=2,IF(F88&gt;=16,"H",IF(F88&lt;=4,"L","A")),IF(F88&lt;=15,"L","A"))),IF(OR(D88="SE",D88="CE"),IF(H88&gt;=4,IF(F88&gt;=6,"H","A"),IF(H88&gt;=2,IF(F88&gt;=20,"H",IF(F88&lt;=5,"L","A")),IF(F88&lt;=19,"L","A"))),IF(OR(D88="ALI",D88="AIE"),IF(H88&gt;=6,IF(F88&gt;=20,"H","A"),IF(H88&gt;=2,IF(F88&gt;=51,"H",IF(F88&lt;=19,"L","A")),IF(F88&lt;=50,"L","A")))))))</f>
        <v/>
      </c>
      <c r="M88" s="20">
        <f>IF(L88="L","Baixa",IF(L88="A","Média",IF(L88="","","Alta")))</f>
        <v/>
      </c>
      <c r="N88" s="21">
        <f>IF(ISBLANK(D88),"",IF(D88="ALI",IF(L88="L",7,IF(L88="A",10,15)),IF(D88="AIE",IF(L88="L",5,IF(L88="A",7,10)),IF(D88="SE",IF(L88="L",4,IF(L88="A",5,7)),IF(OR(D88="EE",D88="CE"),IF(L88="L",3,IF(L88="A",4,6)))))))</f>
        <v/>
      </c>
      <c r="O88" s="59">
        <f>IF(E88&lt;&gt;"",VLOOKUP(E88,$P180:$Q211,2,FALSE),"-")</f>
        <v/>
      </c>
      <c r="P88" s="50">
        <f>IF(OR(E88="Manutenção Interface",E88="Paginas Estáticas"),J88*O88,
IF(OR(D88="",E88=""),"",
N88*O88))</f>
        <v/>
      </c>
      <c r="Q88" s="21" t="n"/>
      <c r="S88" s="69">
        <f>IF(OR(M88="Baixa",E88="Manutenção Interface",E88="Paginas Estáticas"),1,0)</f>
        <v/>
      </c>
      <c r="T88" s="69">
        <f>IF(OR(M88="Média",M88="Alta"),1,0)</f>
        <v/>
      </c>
    </row>
    <row r="89" ht="16.5" customHeight="1" s="30">
      <c r="B89" s="105" t="n"/>
      <c r="C89" s="101" t="n"/>
      <c r="D89" s="19" t="n"/>
      <c r="E89" s="57" t="n"/>
      <c r="F89" s="57" t="n"/>
      <c r="G89" s="57" t="n"/>
      <c r="H89" s="57" t="n"/>
      <c r="I89" s="57" t="n"/>
      <c r="J89" s="57" t="n"/>
      <c r="K89" s="57">
        <f>CONCATENATE(D89,L89)</f>
        <v/>
      </c>
      <c r="L89" s="57">
        <f>IF(OR(ISBLANK(F89),ISBLANK(H89)),IF(OR(D89="ALI",D89="AIE"),"L",IF(ISBLANK(D89),"","A")),IF(D89="EE",IF(H89&gt;=3,IF(F89&gt;=5,"H","A"),IF(H89&gt;=2,IF(F89&gt;=16,"H",IF(F89&lt;=4,"L","A")),IF(F89&lt;=15,"L","A"))),IF(OR(D89="SE",D89="CE"),IF(H89&gt;=4,IF(F89&gt;=6,"H","A"),IF(H89&gt;=2,IF(F89&gt;=20,"H",IF(F89&lt;=5,"L","A")),IF(F89&lt;=19,"L","A"))),IF(OR(D89="ALI",D89="AIE"),IF(H89&gt;=6,IF(F89&gt;=20,"H","A"),IF(H89&gt;=2,IF(F89&gt;=51,"H",IF(F89&lt;=19,"L","A")),IF(F89&lt;=50,"L","A")))))))</f>
        <v/>
      </c>
      <c r="M89" s="20">
        <f>IF(L89="L","Baixa",IF(L89="A","Média",IF(L89="","","Alta")))</f>
        <v/>
      </c>
      <c r="N89" s="21">
        <f>IF(ISBLANK(D89),"",IF(D89="ALI",IF(L89="L",7,IF(L89="A",10,15)),IF(D89="AIE",IF(L89="L",5,IF(L89="A",7,10)),IF(D89="SE",IF(L89="L",4,IF(L89="A",5,7)),IF(OR(D89="EE",D89="CE"),IF(L89="L",3,IF(L89="A",4,6)))))))</f>
        <v/>
      </c>
      <c r="O89" s="59">
        <f>IF(E89&lt;&gt;"",VLOOKUP(E89,$P180:$Q211,2,FALSE),"-")</f>
        <v/>
      </c>
      <c r="P89" s="50">
        <f>IF(OR(E89="Manutenção Interface",E89="Paginas Estáticas"),J89*O89,
IF(OR(D89="",E89=""),"",
N89*O89))</f>
        <v/>
      </c>
      <c r="Q89" s="21" t="n"/>
      <c r="S89" s="69">
        <f>IF(OR(M89="Baixa",E89="Manutenção Interface",E89="Paginas Estáticas"),1,0)</f>
        <v/>
      </c>
      <c r="T89" s="69">
        <f>IF(OR(M89="Média",M89="Alta"),1,0)</f>
        <v/>
      </c>
    </row>
    <row r="90" ht="16.5" customHeight="1" s="30">
      <c r="B90" s="105" t="n"/>
      <c r="C90" s="101" t="n"/>
      <c r="D90" s="19" t="n"/>
      <c r="E90" s="57" t="n"/>
      <c r="F90" s="57" t="n"/>
      <c r="G90" s="57" t="n"/>
      <c r="H90" s="57" t="n"/>
      <c r="I90" s="57" t="n"/>
      <c r="J90" s="57" t="n"/>
      <c r="K90" s="57">
        <f>CONCATENATE(D90,L90)</f>
        <v/>
      </c>
      <c r="L90" s="57">
        <f>IF(OR(ISBLANK(F90),ISBLANK(H90)),IF(OR(D90="ALI",D90="AIE"),"L",IF(ISBLANK(D90),"","A")),IF(D90="EE",IF(H90&gt;=3,IF(F90&gt;=5,"H","A"),IF(H90&gt;=2,IF(F90&gt;=16,"H",IF(F90&lt;=4,"L","A")),IF(F90&lt;=15,"L","A"))),IF(OR(D90="SE",D90="CE"),IF(H90&gt;=4,IF(F90&gt;=6,"H","A"),IF(H90&gt;=2,IF(F90&gt;=20,"H",IF(F90&lt;=5,"L","A")),IF(F90&lt;=19,"L","A"))),IF(OR(D90="ALI",D90="AIE"),IF(H90&gt;=6,IF(F90&gt;=20,"H","A"),IF(H90&gt;=2,IF(F90&gt;=51,"H",IF(F90&lt;=19,"L","A")),IF(F90&lt;=50,"L","A")))))))</f>
        <v/>
      </c>
      <c r="M90" s="20">
        <f>IF(L90="L","Baixa",IF(L90="A","Média",IF(L90="","","Alta")))</f>
        <v/>
      </c>
      <c r="N90" s="21">
        <f>IF(ISBLANK(D90),"",IF(D90="ALI",IF(L90="L",7,IF(L90="A",10,15)),IF(D90="AIE",IF(L90="L",5,IF(L90="A",7,10)),IF(D90="SE",IF(L90="L",4,IF(L90="A",5,7)),IF(OR(D90="EE",D90="CE"),IF(L90="L",3,IF(L90="A",4,6)))))))</f>
        <v/>
      </c>
      <c r="O90" s="59">
        <f>IF(E90&lt;&gt;"",VLOOKUP(E90,$P180:$Q211,2,FALSE),"-")</f>
        <v/>
      </c>
      <c r="P90" s="50">
        <f>IF(OR(E90="Manutenção Interface",E90="Paginas Estáticas"),J90*O90,
IF(OR(D90="",E90=""),"",
N90*O90))</f>
        <v/>
      </c>
      <c r="Q90" s="21" t="n"/>
      <c r="S90" s="69">
        <f>IF(OR(M90="Baixa",E90="Manutenção Interface",E90="Paginas Estáticas"),1,0)</f>
        <v/>
      </c>
      <c r="T90" s="69">
        <f>IF(OR(M90="Média",M90="Alta"),1,0)</f>
        <v/>
      </c>
    </row>
    <row r="91" ht="16.5" customHeight="1" s="30">
      <c r="B91" s="105" t="n"/>
      <c r="C91" s="101" t="n"/>
      <c r="D91" s="19" t="n"/>
      <c r="E91" s="57" t="n"/>
      <c r="F91" s="57" t="n"/>
      <c r="G91" s="57" t="n"/>
      <c r="H91" s="57" t="n"/>
      <c r="I91" s="57" t="n"/>
      <c r="J91" s="57" t="n"/>
      <c r="K91" s="57">
        <f>CONCATENATE(D91,L91)</f>
        <v/>
      </c>
      <c r="L91" s="57">
        <f>IF(OR(ISBLANK(F91),ISBLANK(H91)),IF(OR(D91="ALI",D91="AIE"),"L",IF(ISBLANK(D91),"","A")),IF(D91="EE",IF(H91&gt;=3,IF(F91&gt;=5,"H","A"),IF(H91&gt;=2,IF(F91&gt;=16,"H",IF(F91&lt;=4,"L","A")),IF(F91&lt;=15,"L","A"))),IF(OR(D91="SE",D91="CE"),IF(H91&gt;=4,IF(F91&gt;=6,"H","A"),IF(H91&gt;=2,IF(F91&gt;=20,"H",IF(F91&lt;=5,"L","A")),IF(F91&lt;=19,"L","A"))),IF(OR(D91="ALI",D91="AIE"),IF(H91&gt;=6,IF(F91&gt;=20,"H","A"),IF(H91&gt;=2,IF(F91&gt;=51,"H",IF(F91&lt;=19,"L","A")),IF(F91&lt;=50,"L","A")))))))</f>
        <v/>
      </c>
      <c r="M91" s="20">
        <f>IF(L91="L","Baixa",IF(L91="A","Média",IF(L91="","","Alta")))</f>
        <v/>
      </c>
      <c r="N91" s="21">
        <f>IF(ISBLANK(D91),"",IF(D91="ALI",IF(L91="L",7,IF(L91="A",10,15)),IF(D91="AIE",IF(L91="L",5,IF(L91="A",7,10)),IF(D91="SE",IF(L91="L",4,IF(L91="A",5,7)),IF(OR(D91="EE",D91="CE"),IF(L91="L",3,IF(L91="A",4,6)))))))</f>
        <v/>
      </c>
      <c r="O91" s="59">
        <f>IF(E91&lt;&gt;"",VLOOKUP(E91,$P180:$Q211,2,FALSE),"-")</f>
        <v/>
      </c>
      <c r="P91" s="50">
        <f>IF(OR(E91="Manutenção Interface",E91="Paginas Estáticas"),J91*O91,
IF(OR(D91="",E91=""),"",
N91*O91))</f>
        <v/>
      </c>
      <c r="Q91" s="21" t="n"/>
      <c r="S91" s="69">
        <f>IF(OR(M91="Baixa",E91="Manutenção Interface",E91="Paginas Estáticas"),1,0)</f>
        <v/>
      </c>
      <c r="T91" s="69">
        <f>IF(OR(M91="Média",M91="Alta"),1,0)</f>
        <v/>
      </c>
    </row>
    <row r="92" ht="16.5" customHeight="1" s="30">
      <c r="B92" s="105" t="n"/>
      <c r="C92" s="101" t="n"/>
      <c r="D92" s="19" t="n"/>
      <c r="E92" s="57" t="n"/>
      <c r="F92" s="57" t="n"/>
      <c r="G92" s="57" t="n"/>
      <c r="H92" s="57" t="n"/>
      <c r="I92" s="57" t="n"/>
      <c r="J92" s="57" t="n"/>
      <c r="K92" s="57">
        <f>CONCATENATE(D92,L92)</f>
        <v/>
      </c>
      <c r="L92" s="57">
        <f>IF(OR(ISBLANK(F92),ISBLANK(H92)),IF(OR(D92="ALI",D92="AIE"),"L",IF(ISBLANK(D92),"","A")),IF(D92="EE",IF(H92&gt;=3,IF(F92&gt;=5,"H","A"),IF(H92&gt;=2,IF(F92&gt;=16,"H",IF(F92&lt;=4,"L","A")),IF(F92&lt;=15,"L","A"))),IF(OR(D92="SE",D92="CE"),IF(H92&gt;=4,IF(F92&gt;=6,"H","A"),IF(H92&gt;=2,IF(F92&gt;=20,"H",IF(F92&lt;=5,"L","A")),IF(F92&lt;=19,"L","A"))),IF(OR(D92="ALI",D92="AIE"),IF(H92&gt;=6,IF(F92&gt;=20,"H","A"),IF(H92&gt;=2,IF(F92&gt;=51,"H",IF(F92&lt;=19,"L","A")),IF(F92&lt;=50,"L","A")))))))</f>
        <v/>
      </c>
      <c r="M92" s="20">
        <f>IF(L92="L","Baixa",IF(L92="A","Média",IF(L92="","","Alta")))</f>
        <v/>
      </c>
      <c r="N92" s="21">
        <f>IF(ISBLANK(D92),"",IF(D92="ALI",IF(L92="L",7,IF(L92="A",10,15)),IF(D92="AIE",IF(L92="L",5,IF(L92="A",7,10)),IF(D92="SE",IF(L92="L",4,IF(L92="A",5,7)),IF(OR(D92="EE",D92="CE"),IF(L92="L",3,IF(L92="A",4,6)))))))</f>
        <v/>
      </c>
      <c r="O92" s="59">
        <f>IF(E92&lt;&gt;"",VLOOKUP(E92,$P180:$Q211,2,FALSE),"-")</f>
        <v/>
      </c>
      <c r="P92" s="50">
        <f>IF(OR(E92="Manutenção Interface",E92="Paginas Estáticas"),J92*O92,
IF(OR(D92="",E92=""),"",
N92*O92))</f>
        <v/>
      </c>
      <c r="Q92" s="21" t="n"/>
      <c r="S92" s="69">
        <f>IF(OR(M92="Baixa",E92="Manutenção Interface",E92="Paginas Estáticas"),1,0)</f>
        <v/>
      </c>
      <c r="T92" s="69">
        <f>IF(OR(M92="Média",M92="Alta"),1,0)</f>
        <v/>
      </c>
    </row>
    <row r="93" ht="16.5" customHeight="1" s="30">
      <c r="B93" s="105" t="n"/>
      <c r="C93" s="101" t="n"/>
      <c r="D93" s="19" t="n"/>
      <c r="E93" s="57" t="n"/>
      <c r="F93" s="57" t="n"/>
      <c r="G93" s="57" t="n"/>
      <c r="H93" s="57" t="n"/>
      <c r="I93" s="57" t="n"/>
      <c r="J93" s="57" t="n"/>
      <c r="K93" s="57">
        <f>CONCATENATE(D93,L93)</f>
        <v/>
      </c>
      <c r="L93" s="57">
        <f>IF(OR(ISBLANK(F93),ISBLANK(H93)),IF(OR(D93="ALI",D93="AIE"),"L",IF(ISBLANK(D93),"","A")),IF(D93="EE",IF(H93&gt;=3,IF(F93&gt;=5,"H","A"),IF(H93&gt;=2,IF(F93&gt;=16,"H",IF(F93&lt;=4,"L","A")),IF(F93&lt;=15,"L","A"))),IF(OR(D93="SE",D93="CE"),IF(H93&gt;=4,IF(F93&gt;=6,"H","A"),IF(H93&gt;=2,IF(F93&gt;=20,"H",IF(F93&lt;=5,"L","A")),IF(F93&lt;=19,"L","A"))),IF(OR(D93="ALI",D93="AIE"),IF(H93&gt;=6,IF(F93&gt;=20,"H","A"),IF(H93&gt;=2,IF(F93&gt;=51,"H",IF(F93&lt;=19,"L","A")),IF(F93&lt;=50,"L","A")))))))</f>
        <v/>
      </c>
      <c r="M93" s="20">
        <f>IF(L93="L","Baixa",IF(L93="A","Média",IF(L93="","","Alta")))</f>
        <v/>
      </c>
      <c r="N93" s="21">
        <f>IF(ISBLANK(D93),"",IF(D93="ALI",IF(L93="L",7,IF(L93="A",10,15)),IF(D93="AIE",IF(L93="L",5,IF(L93="A",7,10)),IF(D93="SE",IF(L93="L",4,IF(L93="A",5,7)),IF(OR(D93="EE",D93="CE"),IF(L93="L",3,IF(L93="A",4,6)))))))</f>
        <v/>
      </c>
      <c r="O93" s="59">
        <f>IF(E93&lt;&gt;"",VLOOKUP(E93,$P180:$Q211,2,FALSE),"-")</f>
        <v/>
      </c>
      <c r="P93" s="50">
        <f>IF(OR(E93="Manutenção Interface",E93="Paginas Estáticas"),J93*O93,
IF(OR(D93="",E93=""),"",
N93*O93))</f>
        <v/>
      </c>
      <c r="Q93" s="21" t="n"/>
      <c r="S93" s="69">
        <f>IF(OR(M93="Baixa",E93="Manutenção Interface",E93="Paginas Estáticas"),1,0)</f>
        <v/>
      </c>
      <c r="T93" s="69">
        <f>IF(OR(M93="Média",M93="Alta"),1,0)</f>
        <v/>
      </c>
    </row>
    <row r="94" ht="16.5" customHeight="1" s="30">
      <c r="B94" s="105" t="n"/>
      <c r="C94" s="101" t="n"/>
      <c r="D94" s="19" t="n"/>
      <c r="E94" s="57" t="n"/>
      <c r="F94" s="57" t="n"/>
      <c r="G94" s="57" t="n"/>
      <c r="H94" s="57" t="n"/>
      <c r="I94" s="57" t="n"/>
      <c r="J94" s="57" t="n"/>
      <c r="K94" s="57">
        <f>CONCATENATE(D94,L94)</f>
        <v/>
      </c>
      <c r="L94" s="57">
        <f>IF(OR(ISBLANK(F94),ISBLANK(H94)),IF(OR(D94="ALI",D94="AIE"),"L",IF(ISBLANK(D94),"","A")),IF(D94="EE",IF(H94&gt;=3,IF(F94&gt;=5,"H","A"),IF(H94&gt;=2,IF(F94&gt;=16,"H",IF(F94&lt;=4,"L","A")),IF(F94&lt;=15,"L","A"))),IF(OR(D94="SE",D94="CE"),IF(H94&gt;=4,IF(F94&gt;=6,"H","A"),IF(H94&gt;=2,IF(F94&gt;=20,"H",IF(F94&lt;=5,"L","A")),IF(F94&lt;=19,"L","A"))),IF(OR(D94="ALI",D94="AIE"),IF(H94&gt;=6,IF(F94&gt;=20,"H","A"),IF(H94&gt;=2,IF(F94&gt;=51,"H",IF(F94&lt;=19,"L","A")),IF(F94&lt;=50,"L","A")))))))</f>
        <v/>
      </c>
      <c r="M94" s="20">
        <f>IF(L94="L","Baixa",IF(L94="A","Média",IF(L94="","","Alta")))</f>
        <v/>
      </c>
      <c r="N94" s="21">
        <f>IF(ISBLANK(D94),"",IF(D94="ALI",IF(L94="L",7,IF(L94="A",10,15)),IF(D94="AIE",IF(L94="L",5,IF(L94="A",7,10)),IF(D94="SE",IF(L94="L",4,IF(L94="A",5,7)),IF(OR(D94="EE",D94="CE"),IF(L94="L",3,IF(L94="A",4,6)))))))</f>
        <v/>
      </c>
      <c r="O94" s="59">
        <f>IF(E94&lt;&gt;"",VLOOKUP(E94,$P180:$Q211,2,FALSE),"-")</f>
        <v/>
      </c>
      <c r="P94" s="50">
        <f>IF(OR(E94="Manutenção Interface",E94="Paginas Estáticas"),J94*O94,
IF(OR(D94="",E94=""),"",
N94*O94))</f>
        <v/>
      </c>
      <c r="Q94" s="21" t="n"/>
      <c r="S94" s="69">
        <f>IF(OR(M94="Baixa",E94="Manutenção Interface",E94="Paginas Estáticas"),1,0)</f>
        <v/>
      </c>
      <c r="T94" s="69">
        <f>IF(OR(M94="Média",M94="Alta"),1,0)</f>
        <v/>
      </c>
    </row>
    <row r="95" ht="16.5" customHeight="1" s="30">
      <c r="B95" s="105" t="n"/>
      <c r="C95" s="101" t="n"/>
      <c r="D95" s="19" t="n"/>
      <c r="E95" s="57" t="n"/>
      <c r="F95" s="57" t="n"/>
      <c r="G95" s="57" t="n"/>
      <c r="H95" s="57" t="n"/>
      <c r="I95" s="57" t="n"/>
      <c r="J95" s="57" t="n"/>
      <c r="K95" s="57">
        <f>CONCATENATE(D95,L95)</f>
        <v/>
      </c>
      <c r="L95" s="57">
        <f>IF(OR(ISBLANK(F95),ISBLANK(H95)),IF(OR(D95="ALI",D95="AIE"),"L",IF(ISBLANK(D95),"","A")),IF(D95="EE",IF(H95&gt;=3,IF(F95&gt;=5,"H","A"),IF(H95&gt;=2,IF(F95&gt;=16,"H",IF(F95&lt;=4,"L","A")),IF(F95&lt;=15,"L","A"))),IF(OR(D95="SE",D95="CE"),IF(H95&gt;=4,IF(F95&gt;=6,"H","A"),IF(H95&gt;=2,IF(F95&gt;=20,"H",IF(F95&lt;=5,"L","A")),IF(F95&lt;=19,"L","A"))),IF(OR(D95="ALI",D95="AIE"),IF(H95&gt;=6,IF(F95&gt;=20,"H","A"),IF(H95&gt;=2,IF(F95&gt;=51,"H",IF(F95&lt;=19,"L","A")),IF(F95&lt;=50,"L","A")))))))</f>
        <v/>
      </c>
      <c r="M95" s="20">
        <f>IF(L95="L","Baixa",IF(L95="A","Média",IF(L95="","","Alta")))</f>
        <v/>
      </c>
      <c r="N95" s="21">
        <f>IF(ISBLANK(D95),"",IF(D95="ALI",IF(L95="L",7,IF(L95="A",10,15)),IF(D95="AIE",IF(L95="L",5,IF(L95="A",7,10)),IF(D95="SE",IF(L95="L",4,IF(L95="A",5,7)),IF(OR(D95="EE",D95="CE"),IF(L95="L",3,IF(L95="A",4,6)))))))</f>
        <v/>
      </c>
      <c r="O95" s="59">
        <f>IF(E95&lt;&gt;"",VLOOKUP(E95,$P180:$Q211,2,FALSE),"-")</f>
        <v/>
      </c>
      <c r="P95" s="50">
        <f>IF(OR(E95="Manutenção Interface",E95="Paginas Estáticas"),J95*O95,
IF(OR(D95="",E95=""),"",
N95*O95))</f>
        <v/>
      </c>
      <c r="Q95" s="21" t="n"/>
      <c r="S95" s="69">
        <f>IF(OR(M95="Baixa",E95="Manutenção Interface",E95="Paginas Estáticas"),1,0)</f>
        <v/>
      </c>
      <c r="T95" s="69">
        <f>IF(OR(M95="Média",M95="Alta"),1,0)</f>
        <v/>
      </c>
    </row>
    <row r="96" ht="16.5" customHeight="1" s="30">
      <c r="B96" s="105" t="n"/>
      <c r="C96" s="101" t="n"/>
      <c r="D96" s="19" t="n"/>
      <c r="E96" s="57" t="n"/>
      <c r="F96" s="57" t="n"/>
      <c r="G96" s="57" t="n"/>
      <c r="H96" s="57" t="n"/>
      <c r="I96" s="57" t="n"/>
      <c r="J96" s="57" t="n"/>
      <c r="K96" s="57">
        <f>CONCATENATE(D96,L96)</f>
        <v/>
      </c>
      <c r="L96" s="57">
        <f>IF(OR(ISBLANK(F96),ISBLANK(H96)),IF(OR(D96="ALI",D96="AIE"),"L",IF(ISBLANK(D96),"","A")),IF(D96="EE",IF(H96&gt;=3,IF(F96&gt;=5,"H","A"),IF(H96&gt;=2,IF(F96&gt;=16,"H",IF(F96&lt;=4,"L","A")),IF(F96&lt;=15,"L","A"))),IF(OR(D96="SE",D96="CE"),IF(H96&gt;=4,IF(F96&gt;=6,"H","A"),IF(H96&gt;=2,IF(F96&gt;=20,"H",IF(F96&lt;=5,"L","A")),IF(F96&lt;=19,"L","A"))),IF(OR(D96="ALI",D96="AIE"),IF(H96&gt;=6,IF(F96&gt;=20,"H","A"),IF(H96&gt;=2,IF(F96&gt;=51,"H",IF(F96&lt;=19,"L","A")),IF(F96&lt;=50,"L","A")))))))</f>
        <v/>
      </c>
      <c r="M96" s="20">
        <f>IF(L96="L","Baixa",IF(L96="A","Média",IF(L96="","","Alta")))</f>
        <v/>
      </c>
      <c r="N96" s="21">
        <f>IF(ISBLANK(D96),"",IF(D96="ALI",IF(L96="L",7,IF(L96="A",10,15)),IF(D96="AIE",IF(L96="L",5,IF(L96="A",7,10)),IF(D96="SE",IF(L96="L",4,IF(L96="A",5,7)),IF(OR(D96="EE",D96="CE"),IF(L96="L",3,IF(L96="A",4,6)))))))</f>
        <v/>
      </c>
      <c r="O96" s="59">
        <f>IF(E96&lt;&gt;"",VLOOKUP(E96,$P180:$Q211,2,FALSE),"-")</f>
        <v/>
      </c>
      <c r="P96" s="50">
        <f>IF(OR(E96="Manutenção Interface",E96="Paginas Estáticas"),J96*O96,
IF(OR(D96="",E96=""),"",
N96*O96))</f>
        <v/>
      </c>
      <c r="Q96" s="21" t="n"/>
      <c r="S96" s="69">
        <f>IF(OR(M96="Baixa",E96="Manutenção Interface",E96="Paginas Estáticas"),1,0)</f>
        <v/>
      </c>
      <c r="T96" s="69">
        <f>IF(OR(M96="Média",M96="Alta"),1,0)</f>
        <v/>
      </c>
    </row>
    <row r="97" ht="16.5" customHeight="1" s="30">
      <c r="B97" s="105" t="n"/>
      <c r="C97" s="101" t="n"/>
      <c r="D97" s="19" t="n"/>
      <c r="E97" s="57" t="n"/>
      <c r="F97" s="57" t="n"/>
      <c r="G97" s="57" t="n"/>
      <c r="H97" s="57" t="n"/>
      <c r="I97" s="57" t="n"/>
      <c r="J97" s="57" t="n"/>
      <c r="K97" s="57">
        <f>CONCATENATE(D97,L97)</f>
        <v/>
      </c>
      <c r="L97" s="57">
        <f>IF(OR(ISBLANK(F97),ISBLANK(H97)),IF(OR(D97="ALI",D97="AIE"),"L",IF(ISBLANK(D97),"","A")),IF(D97="EE",IF(H97&gt;=3,IF(F97&gt;=5,"H","A"),IF(H97&gt;=2,IF(F97&gt;=16,"H",IF(F97&lt;=4,"L","A")),IF(F97&lt;=15,"L","A"))),IF(OR(D97="SE",D97="CE"),IF(H97&gt;=4,IF(F97&gt;=6,"H","A"),IF(H97&gt;=2,IF(F97&gt;=20,"H",IF(F97&lt;=5,"L","A")),IF(F97&lt;=19,"L","A"))),IF(OR(D97="ALI",D97="AIE"),IF(H97&gt;=6,IF(F97&gt;=20,"H","A"),IF(H97&gt;=2,IF(F97&gt;=51,"H",IF(F97&lt;=19,"L","A")),IF(F97&lt;=50,"L","A")))))))</f>
        <v/>
      </c>
      <c r="M97" s="20">
        <f>IF(L97="L","Baixa",IF(L97="A","Média",IF(L97="","","Alta")))</f>
        <v/>
      </c>
      <c r="N97" s="21">
        <f>IF(ISBLANK(D97),"",IF(D97="ALI",IF(L97="L",7,IF(L97="A",10,15)),IF(D97="AIE",IF(L97="L",5,IF(L97="A",7,10)),IF(D97="SE",IF(L97="L",4,IF(L97="A",5,7)),IF(OR(D97="EE",D97="CE"),IF(L97="L",3,IF(L97="A",4,6)))))))</f>
        <v/>
      </c>
      <c r="O97" s="59">
        <f>IF(E97&lt;&gt;"",VLOOKUP(E97,$P180:$Q211,2,FALSE),"-")</f>
        <v/>
      </c>
      <c r="P97" s="50">
        <f>IF(OR(E97="Manutenção Interface",E97="Paginas Estáticas"),J97*O97,
IF(OR(D97="",E97=""),"",
N97*O97))</f>
        <v/>
      </c>
      <c r="Q97" s="21" t="n"/>
      <c r="S97" s="69">
        <f>IF(OR(M97="Baixa",E97="Manutenção Interface",E97="Paginas Estáticas"),1,0)</f>
        <v/>
      </c>
      <c r="T97" s="69">
        <f>IF(OR(M97="Média",M97="Alta"),1,0)</f>
        <v/>
      </c>
    </row>
    <row r="98" ht="16.5" customHeight="1" s="30">
      <c r="B98" s="105" t="n"/>
      <c r="C98" s="101" t="n"/>
      <c r="D98" s="19" t="n"/>
      <c r="E98" s="57" t="n"/>
      <c r="F98" s="57" t="n"/>
      <c r="G98" s="57" t="n"/>
      <c r="H98" s="57" t="n"/>
      <c r="I98" s="57" t="n"/>
      <c r="J98" s="57" t="n"/>
      <c r="K98" s="57">
        <f>CONCATENATE(D98,L98)</f>
        <v/>
      </c>
      <c r="L98" s="57">
        <f>IF(OR(ISBLANK(F98),ISBLANK(H98)),IF(OR(D98="ALI",D98="AIE"),"L",IF(ISBLANK(D98),"","A")),IF(D98="EE",IF(H98&gt;=3,IF(F98&gt;=5,"H","A"),IF(H98&gt;=2,IF(F98&gt;=16,"H",IF(F98&lt;=4,"L","A")),IF(F98&lt;=15,"L","A"))),IF(OR(D98="SE",D98="CE"),IF(H98&gt;=4,IF(F98&gt;=6,"H","A"),IF(H98&gt;=2,IF(F98&gt;=20,"H",IF(F98&lt;=5,"L","A")),IF(F98&lt;=19,"L","A"))),IF(OR(D98="ALI",D98="AIE"),IF(H98&gt;=6,IF(F98&gt;=20,"H","A"),IF(H98&gt;=2,IF(F98&gt;=51,"H",IF(F98&lt;=19,"L","A")),IF(F98&lt;=50,"L","A")))))))</f>
        <v/>
      </c>
      <c r="M98" s="20">
        <f>IF(L98="L","Baixa",IF(L98="A","Média",IF(L98="","","Alta")))</f>
        <v/>
      </c>
      <c r="N98" s="21">
        <f>IF(ISBLANK(D98),"",IF(D98="ALI",IF(L98="L",7,IF(L98="A",10,15)),IF(D98="AIE",IF(L98="L",5,IF(L98="A",7,10)),IF(D98="SE",IF(L98="L",4,IF(L98="A",5,7)),IF(OR(D98="EE",D98="CE"),IF(L98="L",3,IF(L98="A",4,6)))))))</f>
        <v/>
      </c>
      <c r="O98" s="59">
        <f>IF(E98&lt;&gt;"",VLOOKUP(E98,$P180:$Q211,2,FALSE),"-")</f>
        <v/>
      </c>
      <c r="P98" s="50">
        <f>IF(OR(E98="Manutenção Interface",E98="Paginas Estáticas"),J98*O98,
IF(OR(D98="",E98=""),"",
N98*O98))</f>
        <v/>
      </c>
      <c r="Q98" s="21" t="n"/>
      <c r="S98" s="69">
        <f>IF(OR(M98="Baixa",E98="Manutenção Interface",E98="Paginas Estáticas"),1,0)</f>
        <v/>
      </c>
      <c r="T98" s="69">
        <f>IF(OR(M98="Média",M98="Alta"),1,0)</f>
        <v/>
      </c>
    </row>
    <row r="99" ht="16.5" customHeight="1" s="30">
      <c r="B99" s="105" t="n"/>
      <c r="C99" s="101" t="n"/>
      <c r="D99" s="19" t="n"/>
      <c r="E99" s="57" t="n"/>
      <c r="F99" s="57" t="n"/>
      <c r="G99" s="57" t="n"/>
      <c r="H99" s="57" t="n"/>
      <c r="I99" s="57" t="n"/>
      <c r="J99" s="57" t="n"/>
      <c r="K99" s="57">
        <f>CONCATENATE(D99,L99)</f>
        <v/>
      </c>
      <c r="L99" s="57">
        <f>IF(OR(ISBLANK(F99),ISBLANK(H99)),IF(OR(D99="ALI",D99="AIE"),"L",IF(ISBLANK(D99),"","A")),IF(D99="EE",IF(H99&gt;=3,IF(F99&gt;=5,"H","A"),IF(H99&gt;=2,IF(F99&gt;=16,"H",IF(F99&lt;=4,"L","A")),IF(F99&lt;=15,"L","A"))),IF(OR(D99="SE",D99="CE"),IF(H99&gt;=4,IF(F99&gt;=6,"H","A"),IF(H99&gt;=2,IF(F99&gt;=20,"H",IF(F99&lt;=5,"L","A")),IF(F99&lt;=19,"L","A"))),IF(OR(D99="ALI",D99="AIE"),IF(H99&gt;=6,IF(F99&gt;=20,"H","A"),IF(H99&gt;=2,IF(F99&gt;=51,"H",IF(F99&lt;=19,"L","A")),IF(F99&lt;=50,"L","A")))))))</f>
        <v/>
      </c>
      <c r="M99" s="20">
        <f>IF(L99="L","Baixa",IF(L99="A","Média",IF(L99="","","Alta")))</f>
        <v/>
      </c>
      <c r="N99" s="21">
        <f>IF(ISBLANK(D99),"",IF(D99="ALI",IF(L99="L",7,IF(L99="A",10,15)),IF(D99="AIE",IF(L99="L",5,IF(L99="A",7,10)),IF(D99="SE",IF(L99="L",4,IF(L99="A",5,7)),IF(OR(D99="EE",D99="CE"),IF(L99="L",3,IF(L99="A",4,6)))))))</f>
        <v/>
      </c>
      <c r="O99" s="59">
        <f>IF(E99&lt;&gt;"",VLOOKUP(E99,$P180:$Q211,2,FALSE),"-")</f>
        <v/>
      </c>
      <c r="P99" s="50">
        <f>IF(OR(E99="Manutenção Interface",E99="Paginas Estáticas"),J99*O99,
IF(OR(D99="",E99=""),"",
N99*O99))</f>
        <v/>
      </c>
      <c r="Q99" s="21" t="n"/>
      <c r="S99" s="69">
        <f>IF(OR(M99="Baixa",E99="Manutenção Interface",E99="Paginas Estáticas"),1,0)</f>
        <v/>
      </c>
      <c r="T99" s="69">
        <f>IF(OR(M99="Média",M99="Alta"),1,0)</f>
        <v/>
      </c>
    </row>
    <row r="100" ht="16.5" customHeight="1" s="30">
      <c r="B100" s="105" t="n"/>
      <c r="C100" s="101" t="n"/>
      <c r="D100" s="19" t="n"/>
      <c r="E100" s="57" t="n"/>
      <c r="F100" s="57" t="n"/>
      <c r="G100" s="57" t="n"/>
      <c r="H100" s="57" t="n"/>
      <c r="I100" s="57" t="n"/>
      <c r="J100" s="57" t="n"/>
      <c r="K100" s="57">
        <f>CONCATENATE(D100,L100)</f>
        <v/>
      </c>
      <c r="L100" s="57">
        <f>IF(OR(ISBLANK(F100),ISBLANK(H100)),IF(OR(D100="ALI",D100="AIE"),"L",IF(ISBLANK(D100),"","A")),IF(D100="EE",IF(H100&gt;=3,IF(F100&gt;=5,"H","A"),IF(H100&gt;=2,IF(F100&gt;=16,"H",IF(F100&lt;=4,"L","A")),IF(F100&lt;=15,"L","A"))),IF(OR(D100="SE",D100="CE"),IF(H100&gt;=4,IF(F100&gt;=6,"H","A"),IF(H100&gt;=2,IF(F100&gt;=20,"H",IF(F100&lt;=5,"L","A")),IF(F100&lt;=19,"L","A"))),IF(OR(D100="ALI",D100="AIE"),IF(H100&gt;=6,IF(F100&gt;=20,"H","A"),IF(H100&gt;=2,IF(F100&gt;=51,"H",IF(F100&lt;=19,"L","A")),IF(F100&lt;=50,"L","A")))))))</f>
        <v/>
      </c>
      <c r="M100" s="20">
        <f>IF(L100="L","Baixa",IF(L100="A","Média",IF(L100="","","Alta")))</f>
        <v/>
      </c>
      <c r="N100" s="21">
        <f>IF(ISBLANK(D100),"",IF(D100="ALI",IF(L100="L",7,IF(L100="A",10,15)),IF(D100="AIE",IF(L100="L",5,IF(L100="A",7,10)),IF(D100="SE",IF(L100="L",4,IF(L100="A",5,7)),IF(OR(D100="EE",D100="CE"),IF(L100="L",3,IF(L100="A",4,6)))))))</f>
        <v/>
      </c>
      <c r="O100" s="59">
        <f>IF(E100&lt;&gt;"",VLOOKUP(E100,$P180:$Q211,2,FALSE),"-")</f>
        <v/>
      </c>
      <c r="P100" s="50">
        <f>IF(OR(E100="Manutenção Interface",E100="Paginas Estáticas"),J100*O100,
IF(OR(D100="",E100=""),"",
N100*O100))</f>
        <v/>
      </c>
      <c r="Q100" s="21" t="n"/>
      <c r="S100" s="69">
        <f>IF(OR(M100="Baixa",E100="Manutenção Interface",E100="Paginas Estáticas"),1,0)</f>
        <v/>
      </c>
      <c r="T100" s="69">
        <f>IF(OR(M100="Média",M100="Alta"),1,0)</f>
        <v/>
      </c>
    </row>
    <row r="101" ht="14.25" customHeight="1" s="30">
      <c r="B101" s="105" t="n"/>
      <c r="C101" s="102" t="n"/>
      <c r="D101" s="19" t="n"/>
      <c r="E101" s="57" t="n"/>
      <c r="F101" s="57" t="n"/>
      <c r="G101" s="57" t="n"/>
      <c r="H101" s="57" t="n"/>
      <c r="I101" s="57" t="n"/>
      <c r="J101" s="57" t="n"/>
      <c r="K101" s="57">
        <f>CONCATENATE(D101,L101)</f>
        <v/>
      </c>
      <c r="L101" s="57">
        <f>IF(OR(ISBLANK(F101),ISBLANK(H101)),IF(OR(D101="ALI",D101="AIE"),"L",IF(ISBLANK(D101),"","A")),IF(D101="EE",IF(H101&gt;=3,IF(F101&gt;=5,"H","A"),IF(H101&gt;=2,IF(F101&gt;=16,"H",IF(F101&lt;=4,"L","A")),IF(F101&lt;=15,"L","A"))),IF(OR(D101="SE",D101="CE"),IF(H101&gt;=4,IF(F101&gt;=6,"H","A"),IF(H101&gt;=2,IF(F101&gt;=20,"H",IF(F101&lt;=5,"L","A")),IF(F101&lt;=19,"L","A"))),IF(OR(D101="ALI",D101="AIE"),IF(H101&gt;=6,IF(F101&gt;=20,"H","A"),IF(H101&gt;=2,IF(F101&gt;=51,"H",IF(F101&lt;=19,"L","A")),IF(F101&lt;=50,"L","A")))))))</f>
        <v/>
      </c>
      <c r="M101" s="20">
        <f>IF(L101="L","Baixa",IF(L101="A","Média",IF(L101="","","Alta")))</f>
        <v/>
      </c>
      <c r="N101" s="21">
        <f>IF(ISBLANK(D101),"",IF(D101="ALI",IF(L101="L",7,IF(L101="A",10,15)),IF(D101="AIE",IF(L101="L",5,IF(L101="A",7,10)),IF(D101="SE",IF(L101="L",4,IF(L101="A",5,7)),IF(OR(D101="EE",D101="CE"),IF(L101="L",3,IF(L101="A",4,6)))))))</f>
        <v/>
      </c>
      <c r="O101" s="59">
        <f>IF(E101&lt;&gt;"",VLOOKUP(E101,$P180:$Q211,2,FALSE),"-")</f>
        <v/>
      </c>
      <c r="P101" s="50">
        <f>IF(OR(E101="Manutenção Interface",E101="Paginas Estáticas"),J101*O101,
IF(OR(D101="",E101=""),"",
N101*O101))</f>
        <v/>
      </c>
      <c r="Q101" s="21" t="n"/>
      <c r="S101" s="69">
        <f>IF(OR(M101="Baixa",E101="Manutenção Interface",E101="Paginas Estáticas"),1,0)</f>
        <v/>
      </c>
      <c r="T101" s="69">
        <f>IF(OR(M101="Média",M101="Alta"),1,0)</f>
        <v/>
      </c>
    </row>
    <row r="102" ht="14.25" customHeight="1" s="30">
      <c r="B102" s="105" t="n"/>
      <c r="C102" s="102" t="n"/>
      <c r="D102" s="19" t="n"/>
      <c r="E102" s="57" t="n"/>
      <c r="F102" s="57" t="n"/>
      <c r="G102" s="57" t="n"/>
      <c r="H102" s="57" t="n"/>
      <c r="I102" s="57" t="n"/>
      <c r="J102" s="57" t="n"/>
      <c r="K102" s="57">
        <f>CONCATENATE(D102,L102)</f>
        <v/>
      </c>
      <c r="L102" s="57">
        <f>IF(OR(ISBLANK(F102),ISBLANK(H102)),IF(OR(D102="ALI",D102="AIE"),"L",IF(ISBLANK(D102),"","A")),IF(D102="EE",IF(H102&gt;=3,IF(F102&gt;=5,"H","A"),IF(H102&gt;=2,IF(F102&gt;=16,"H",IF(F102&lt;=4,"L","A")),IF(F102&lt;=15,"L","A"))),IF(OR(D102="SE",D102="CE"),IF(H102&gt;=4,IF(F102&gt;=6,"H","A"),IF(H102&gt;=2,IF(F102&gt;=20,"H",IF(F102&lt;=5,"L","A")),IF(F102&lt;=19,"L","A"))),IF(OR(D102="ALI",D102="AIE"),IF(H102&gt;=6,IF(F102&gt;=20,"H","A"),IF(H102&gt;=2,IF(F102&gt;=51,"H",IF(F102&lt;=19,"L","A")),IF(F102&lt;=50,"L","A")))))))</f>
        <v/>
      </c>
      <c r="M102" s="20">
        <f>IF(L102="L","Baixa",IF(L102="A","Média",IF(L102="","","Alta")))</f>
        <v/>
      </c>
      <c r="N102" s="21">
        <f>IF(ISBLANK(D102),"",IF(D102="ALI",IF(L102="L",7,IF(L102="A",10,15)),IF(D102="AIE",IF(L102="L",5,IF(L102="A",7,10)),IF(D102="SE",IF(L102="L",4,IF(L102="A",5,7)),IF(OR(D102="EE",D102="CE"),IF(L102="L",3,IF(L102="A",4,6)))))))</f>
        <v/>
      </c>
      <c r="O102" s="59">
        <f>IF(E102&lt;&gt;"",VLOOKUP(E102,$P180:$Q211,2,FALSE),"-")</f>
        <v/>
      </c>
      <c r="P102" s="50">
        <f>IF(OR(E102="Manutenção Interface",E102="Paginas Estáticas"),J102*O102,
IF(OR(D102="",E102=""),"",
N102*O102))</f>
        <v/>
      </c>
      <c r="Q102" s="21" t="n"/>
      <c r="S102" s="69">
        <f>IF(OR(M102="Baixa",E102="Manutenção Interface",E102="Paginas Estáticas"),1,0)</f>
        <v/>
      </c>
      <c r="T102" s="69">
        <f>IF(OR(M102="Média",M102="Alta"),1,0)</f>
        <v/>
      </c>
    </row>
    <row r="103" ht="14.25" customHeight="1" s="30">
      <c r="B103" s="105" t="n"/>
      <c r="C103" s="102" t="n"/>
      <c r="D103" s="19" t="n"/>
      <c r="E103" s="57" t="n"/>
      <c r="F103" s="57" t="n"/>
      <c r="G103" s="57" t="n"/>
      <c r="H103" s="57" t="n"/>
      <c r="I103" s="57" t="n"/>
      <c r="J103" s="57" t="n"/>
      <c r="K103" s="57">
        <f>CONCATENATE(D103,L103)</f>
        <v/>
      </c>
      <c r="L103" s="57">
        <f>IF(OR(ISBLANK(F103),ISBLANK(H103)),IF(OR(D103="ALI",D103="AIE"),"L",IF(ISBLANK(D103),"","A")),IF(D103="EE",IF(H103&gt;=3,IF(F103&gt;=5,"H","A"),IF(H103&gt;=2,IF(F103&gt;=16,"H",IF(F103&lt;=4,"L","A")),IF(F103&lt;=15,"L","A"))),IF(OR(D103="SE",D103="CE"),IF(H103&gt;=4,IF(F103&gt;=6,"H","A"),IF(H103&gt;=2,IF(F103&gt;=20,"H",IF(F103&lt;=5,"L","A")),IF(F103&lt;=19,"L","A"))),IF(OR(D103="ALI",D103="AIE"),IF(H103&gt;=6,IF(F103&gt;=20,"H","A"),IF(H103&gt;=2,IF(F103&gt;=51,"H",IF(F103&lt;=19,"L","A")),IF(F103&lt;=50,"L","A")))))))</f>
        <v/>
      </c>
      <c r="M103" s="20">
        <f>IF(L103="L","Baixa",IF(L103="A","Média",IF(L103="","","Alta")))</f>
        <v/>
      </c>
      <c r="N103" s="21">
        <f>IF(ISBLANK(D103),"",IF(D103="ALI",IF(L103="L",7,IF(L103="A",10,15)),IF(D103="AIE",IF(L103="L",5,IF(L103="A",7,10)),IF(D103="SE",IF(L103="L",4,IF(L103="A",5,7)),IF(OR(D103="EE",D103="CE"),IF(L103="L",3,IF(L103="A",4,6)))))))</f>
        <v/>
      </c>
      <c r="O103" s="59">
        <f>IF(E103&lt;&gt;"",VLOOKUP(E103,$P180:$Q211,2,FALSE),"-")</f>
        <v/>
      </c>
      <c r="P103" s="50">
        <f>IF(OR(E103="Manutenção Interface",E103="Paginas Estáticas"),J103*O103,
IF(OR(D103="",E103=""),"",
N103*O103))</f>
        <v/>
      </c>
      <c r="Q103" s="21" t="n"/>
      <c r="S103" s="69">
        <f>IF(OR(M103="Baixa",E103="Manutenção Interface",E103="Paginas Estáticas"),1,0)</f>
        <v/>
      </c>
      <c r="T103" s="69">
        <f>IF(OR(M103="Média",M103="Alta"),1,0)</f>
        <v/>
      </c>
    </row>
    <row r="104" ht="14.25" customHeight="1" s="30">
      <c r="B104" s="105" t="n"/>
      <c r="C104" s="102" t="n"/>
      <c r="D104" s="19" t="n"/>
      <c r="E104" s="57" t="n"/>
      <c r="F104" s="57" t="n"/>
      <c r="G104" s="57" t="n"/>
      <c r="H104" s="57" t="n"/>
      <c r="I104" s="57" t="n"/>
      <c r="J104" s="57" t="n"/>
      <c r="K104" s="57">
        <f>CONCATENATE(D104,L104)</f>
        <v/>
      </c>
      <c r="L104" s="57">
        <f>IF(OR(ISBLANK(F104),ISBLANK(H104)),IF(OR(D104="ALI",D104="AIE"),"L",IF(ISBLANK(D104),"","A")),IF(D104="EE",IF(H104&gt;=3,IF(F104&gt;=5,"H","A"),IF(H104&gt;=2,IF(F104&gt;=16,"H",IF(F104&lt;=4,"L","A")),IF(F104&lt;=15,"L","A"))),IF(OR(D104="SE",D104="CE"),IF(H104&gt;=4,IF(F104&gt;=6,"H","A"),IF(H104&gt;=2,IF(F104&gt;=20,"H",IF(F104&lt;=5,"L","A")),IF(F104&lt;=19,"L","A"))),IF(OR(D104="ALI",D104="AIE"),IF(H104&gt;=6,IF(F104&gt;=20,"H","A"),IF(H104&gt;=2,IF(F104&gt;=51,"H",IF(F104&lt;=19,"L","A")),IF(F104&lt;=50,"L","A")))))))</f>
        <v/>
      </c>
      <c r="M104" s="20">
        <f>IF(L104="L","Baixa",IF(L104="A","Média",IF(L104="","","Alta")))</f>
        <v/>
      </c>
      <c r="N104" s="21">
        <f>IF(ISBLANK(D104),"",IF(D104="ALI",IF(L104="L",7,IF(L104="A",10,15)),IF(D104="AIE",IF(L104="L",5,IF(L104="A",7,10)),IF(D104="SE",IF(L104="L",4,IF(L104="A",5,7)),IF(OR(D104="EE",D104="CE"),IF(L104="L",3,IF(L104="A",4,6)))))))</f>
        <v/>
      </c>
      <c r="O104" s="59">
        <f>IF(E104&lt;&gt;"",VLOOKUP(E104,$P180:$Q211,2,FALSE),"-")</f>
        <v/>
      </c>
      <c r="P104" s="50">
        <f>IF(OR(E104="Manutenção Interface",E104="Paginas Estáticas"),J104*O104,
IF(OR(D104="",E104=""),"",
N104*O104))</f>
        <v/>
      </c>
      <c r="Q104" s="21" t="n"/>
      <c r="S104" s="69">
        <f>IF(OR(M104="Baixa",E104="Manutenção Interface",E104="Paginas Estáticas"),1,0)</f>
        <v/>
      </c>
      <c r="T104" s="69">
        <f>IF(OR(M104="Média",M104="Alta"),1,0)</f>
        <v/>
      </c>
    </row>
    <row r="105" ht="14.25" customHeight="1" s="30">
      <c r="B105" s="105" t="n"/>
      <c r="C105" s="102" t="n"/>
      <c r="D105" s="19" t="n"/>
      <c r="E105" s="57" t="n"/>
      <c r="F105" s="57" t="n"/>
      <c r="G105" s="57" t="n"/>
      <c r="H105" s="57" t="n"/>
      <c r="I105" s="57" t="n"/>
      <c r="J105" s="57" t="n"/>
      <c r="K105" s="57">
        <f>CONCATENATE(D105,L105)</f>
        <v/>
      </c>
      <c r="L105" s="57">
        <f>IF(OR(ISBLANK(F105),ISBLANK(H105)),IF(OR(D105="ALI",D105="AIE"),"L",IF(ISBLANK(D105),"","A")),IF(D105="EE",IF(H105&gt;=3,IF(F105&gt;=5,"H","A"),IF(H105&gt;=2,IF(F105&gt;=16,"H",IF(F105&lt;=4,"L","A")),IF(F105&lt;=15,"L","A"))),IF(OR(D105="SE",D105="CE"),IF(H105&gt;=4,IF(F105&gt;=6,"H","A"),IF(H105&gt;=2,IF(F105&gt;=20,"H",IF(F105&lt;=5,"L","A")),IF(F105&lt;=19,"L","A"))),IF(OR(D105="ALI",D105="AIE"),IF(H105&gt;=6,IF(F105&gt;=20,"H","A"),IF(H105&gt;=2,IF(F105&gt;=51,"H",IF(F105&lt;=19,"L","A")),IF(F105&lt;=50,"L","A")))))))</f>
        <v/>
      </c>
      <c r="M105" s="20">
        <f>IF(L105="L","Baixa",IF(L105="A","Média",IF(L105="","","Alta")))</f>
        <v/>
      </c>
      <c r="N105" s="21">
        <f>IF(ISBLANK(D105),"",IF(D105="ALI",IF(L105="L",7,IF(L105="A",10,15)),IF(D105="AIE",IF(L105="L",5,IF(L105="A",7,10)),IF(D105="SE",IF(L105="L",4,IF(L105="A",5,7)),IF(OR(D105="EE",D105="CE"),IF(L105="L",3,IF(L105="A",4,6)))))))</f>
        <v/>
      </c>
      <c r="O105" s="59">
        <f>IF(E105&lt;&gt;"",VLOOKUP(E105,$P180:$Q211,2,FALSE),"-")</f>
        <v/>
      </c>
      <c r="P105" s="50">
        <f>IF(OR(E105="Manutenção Interface",E105="Paginas Estáticas"),J105*O105,
IF(OR(D105="",E105=""),"",
N105*O105))</f>
        <v/>
      </c>
      <c r="Q105" s="21" t="n"/>
      <c r="S105" s="69">
        <f>IF(OR(M105="Baixa",E105="Manutenção Interface",E105="Paginas Estáticas"),1,0)</f>
        <v/>
      </c>
      <c r="T105" s="69">
        <f>IF(OR(M105="Média",M105="Alta"),1,0)</f>
        <v/>
      </c>
    </row>
    <row r="106" ht="14.25" customHeight="1" s="30">
      <c r="B106" s="105" t="n"/>
      <c r="C106" s="102" t="n"/>
      <c r="D106" s="19" t="n"/>
      <c r="E106" s="57" t="n"/>
      <c r="F106" s="57" t="n"/>
      <c r="G106" s="57" t="n"/>
      <c r="H106" s="57" t="n"/>
      <c r="I106" s="57" t="n"/>
      <c r="J106" s="57" t="n"/>
      <c r="K106" s="57">
        <f>CONCATENATE(D106,L106)</f>
        <v/>
      </c>
      <c r="L106" s="57">
        <f>IF(OR(ISBLANK(F106),ISBLANK(H106)),IF(OR(D106="ALI",D106="AIE"),"L",IF(ISBLANK(D106),"","A")),IF(D106="EE",IF(H106&gt;=3,IF(F106&gt;=5,"H","A"),IF(H106&gt;=2,IF(F106&gt;=16,"H",IF(F106&lt;=4,"L","A")),IF(F106&lt;=15,"L","A"))),IF(OR(D106="SE",D106="CE"),IF(H106&gt;=4,IF(F106&gt;=6,"H","A"),IF(H106&gt;=2,IF(F106&gt;=20,"H",IF(F106&lt;=5,"L","A")),IF(F106&lt;=19,"L","A"))),IF(OR(D106="ALI",D106="AIE"),IF(H106&gt;=6,IF(F106&gt;=20,"H","A"),IF(H106&gt;=2,IF(F106&gt;=51,"H",IF(F106&lt;=19,"L","A")),IF(F106&lt;=50,"L","A")))))))</f>
        <v/>
      </c>
      <c r="M106" s="20">
        <f>IF(L106="L","Baixa",IF(L106="A","Média",IF(L106="","","Alta")))</f>
        <v/>
      </c>
      <c r="N106" s="21">
        <f>IF(ISBLANK(D106),"",IF(D106="ALI",IF(L106="L",7,IF(L106="A",10,15)),IF(D106="AIE",IF(L106="L",5,IF(L106="A",7,10)),IF(D106="SE",IF(L106="L",4,IF(L106="A",5,7)),IF(OR(D106="EE",D106="CE"),IF(L106="L",3,IF(L106="A",4,6)))))))</f>
        <v/>
      </c>
      <c r="O106" s="59">
        <f>IF(E106&lt;&gt;"",VLOOKUP(E106,$P180:$Q211,2,FALSE),"-")</f>
        <v/>
      </c>
      <c r="P106" s="50">
        <f>IF(OR(E106="Manutenção Interface",E106="Paginas Estáticas"),J106*O106,
IF(OR(D106="",E106=""),"",
N106*O106))</f>
        <v/>
      </c>
      <c r="Q106" s="21" t="n"/>
      <c r="S106" s="69">
        <f>IF(OR(M106="Baixa",E106="Manutenção Interface",E106="Paginas Estáticas"),1,0)</f>
        <v/>
      </c>
      <c r="T106" s="69">
        <f>IF(OR(M106="Média",M106="Alta"),1,0)</f>
        <v/>
      </c>
    </row>
    <row r="107" ht="14.25" customHeight="1" s="30">
      <c r="B107" s="105" t="n"/>
      <c r="C107" s="102" t="n"/>
      <c r="D107" s="19" t="n"/>
      <c r="E107" s="57" t="n"/>
      <c r="F107" s="57" t="n"/>
      <c r="G107" s="57" t="n"/>
      <c r="H107" s="57" t="n"/>
      <c r="I107" s="57" t="n"/>
      <c r="J107" s="57" t="n"/>
      <c r="K107" s="57">
        <f>CONCATENATE(D107,L107)</f>
        <v/>
      </c>
      <c r="L107" s="57">
        <f>IF(OR(ISBLANK(F107),ISBLANK(H107)),IF(OR(D107="ALI",D107="AIE"),"L",IF(ISBLANK(D107),"","A")),IF(D107="EE",IF(H107&gt;=3,IF(F107&gt;=5,"H","A"),IF(H107&gt;=2,IF(F107&gt;=16,"H",IF(F107&lt;=4,"L","A")),IF(F107&lt;=15,"L","A"))),IF(OR(D107="SE",D107="CE"),IF(H107&gt;=4,IF(F107&gt;=6,"H","A"),IF(H107&gt;=2,IF(F107&gt;=20,"H",IF(F107&lt;=5,"L","A")),IF(F107&lt;=19,"L","A"))),IF(OR(D107="ALI",D107="AIE"),IF(H107&gt;=6,IF(F107&gt;=20,"H","A"),IF(H107&gt;=2,IF(F107&gt;=51,"H",IF(F107&lt;=19,"L","A")),IF(F107&lt;=50,"L","A")))))))</f>
        <v/>
      </c>
      <c r="M107" s="20">
        <f>IF(L107="L","Baixa",IF(L107="A","Média",IF(L107="","","Alta")))</f>
        <v/>
      </c>
      <c r="N107" s="21">
        <f>IF(ISBLANK(D107),"",IF(D107="ALI",IF(L107="L",7,IF(L107="A",10,15)),IF(D107="AIE",IF(L107="L",5,IF(L107="A",7,10)),IF(D107="SE",IF(L107="L",4,IF(L107="A",5,7)),IF(OR(D107="EE",D107="CE"),IF(L107="L",3,IF(L107="A",4,6)))))))</f>
        <v/>
      </c>
      <c r="O107" s="59">
        <f>IF(E107&lt;&gt;"",VLOOKUP(E107,$P180:$Q211,2,FALSE),"-")</f>
        <v/>
      </c>
      <c r="P107" s="50">
        <f>IF(OR(E107="Manutenção Interface",E107="Paginas Estáticas"),J107*O107,
IF(OR(D107="",E107=""),"",
N107*O107))</f>
        <v/>
      </c>
      <c r="Q107" s="21" t="n"/>
      <c r="S107" s="69">
        <f>IF(OR(M107="Baixa",E107="Manutenção Interface",E107="Paginas Estáticas"),1,0)</f>
        <v/>
      </c>
      <c r="T107" s="69">
        <f>IF(OR(M107="Média",M107="Alta"),1,0)</f>
        <v/>
      </c>
    </row>
    <row r="108" ht="14.25" customHeight="1" s="30">
      <c r="B108" s="105" t="n"/>
      <c r="C108" s="102" t="n"/>
      <c r="D108" s="19" t="n"/>
      <c r="E108" s="57" t="n"/>
      <c r="F108" s="57" t="n"/>
      <c r="G108" s="57" t="n"/>
      <c r="H108" s="57" t="n"/>
      <c r="I108" s="57" t="n"/>
      <c r="J108" s="57" t="n"/>
      <c r="K108" s="57">
        <f>CONCATENATE(D108,L108)</f>
        <v/>
      </c>
      <c r="L108" s="57">
        <f>IF(OR(ISBLANK(F108),ISBLANK(H108)),IF(OR(D108="ALI",D108="AIE"),"L",IF(ISBLANK(D108),"","A")),IF(D108="EE",IF(H108&gt;=3,IF(F108&gt;=5,"H","A"),IF(H108&gt;=2,IF(F108&gt;=16,"H",IF(F108&lt;=4,"L","A")),IF(F108&lt;=15,"L","A"))),IF(OR(D108="SE",D108="CE"),IF(H108&gt;=4,IF(F108&gt;=6,"H","A"),IF(H108&gt;=2,IF(F108&gt;=20,"H",IF(F108&lt;=5,"L","A")),IF(F108&lt;=19,"L","A"))),IF(OR(D108="ALI",D108="AIE"),IF(H108&gt;=6,IF(F108&gt;=20,"H","A"),IF(H108&gt;=2,IF(F108&gt;=51,"H",IF(F108&lt;=19,"L","A")),IF(F108&lt;=50,"L","A")))))))</f>
        <v/>
      </c>
      <c r="M108" s="20">
        <f>IF(L108="L","Baixa",IF(L108="A","Média",IF(L108="","","Alta")))</f>
        <v/>
      </c>
      <c r="N108" s="21">
        <f>IF(ISBLANK(D108),"",IF(D108="ALI",IF(L108="L",7,IF(L108="A",10,15)),IF(D108="AIE",IF(L108="L",5,IF(L108="A",7,10)),IF(D108="SE",IF(L108="L",4,IF(L108="A",5,7)),IF(OR(D108="EE",D108="CE"),IF(L108="L",3,IF(L108="A",4,6)))))))</f>
        <v/>
      </c>
      <c r="O108" s="59">
        <f>IF(E108&lt;&gt;"",VLOOKUP(E108,$P180:$Q211,2,FALSE),"-")</f>
        <v/>
      </c>
      <c r="P108" s="50">
        <f>IF(OR(E108="Manutenção Interface",E108="Paginas Estáticas"),J108*O108,
IF(OR(D108="",E108=""),"",
N108*O108))</f>
        <v/>
      </c>
      <c r="Q108" s="21" t="n"/>
      <c r="S108" s="69">
        <f>IF(OR(M108="Baixa",E108="Manutenção Interface",E108="Paginas Estáticas"),1,0)</f>
        <v/>
      </c>
      <c r="T108" s="69">
        <f>IF(OR(M108="Média",M108="Alta"),1,0)</f>
        <v/>
      </c>
    </row>
    <row r="109" ht="14.25" customHeight="1" s="30">
      <c r="B109" s="105" t="n"/>
      <c r="C109" s="102" t="n"/>
      <c r="D109" s="19" t="n"/>
      <c r="E109" s="57" t="n"/>
      <c r="F109" s="57" t="n"/>
      <c r="G109" s="57" t="n"/>
      <c r="H109" s="57" t="n"/>
      <c r="I109" s="57" t="n"/>
      <c r="J109" s="57" t="n"/>
      <c r="K109" s="57">
        <f>CONCATENATE(D109,L109)</f>
        <v/>
      </c>
      <c r="L109" s="57">
        <f>IF(OR(ISBLANK(F109),ISBLANK(H109)),IF(OR(D109="ALI",D109="AIE"),"L",IF(ISBLANK(D109),"","A")),IF(D109="EE",IF(H109&gt;=3,IF(F109&gt;=5,"H","A"),IF(H109&gt;=2,IF(F109&gt;=16,"H",IF(F109&lt;=4,"L","A")),IF(F109&lt;=15,"L","A"))),IF(OR(D109="SE",D109="CE"),IF(H109&gt;=4,IF(F109&gt;=6,"H","A"),IF(H109&gt;=2,IF(F109&gt;=20,"H",IF(F109&lt;=5,"L","A")),IF(F109&lt;=19,"L","A"))),IF(OR(D109="ALI",D109="AIE"),IF(H109&gt;=6,IF(F109&gt;=20,"H","A"),IF(H109&gt;=2,IF(F109&gt;=51,"H",IF(F109&lt;=19,"L","A")),IF(F109&lt;=50,"L","A")))))))</f>
        <v/>
      </c>
      <c r="M109" s="20">
        <f>IF(L109="L","Baixa",IF(L109="A","Média",IF(L109="","","Alta")))</f>
        <v/>
      </c>
      <c r="N109" s="21">
        <f>IF(ISBLANK(D109),"",IF(D109="ALI",IF(L109="L",7,IF(L109="A",10,15)),IF(D109="AIE",IF(L109="L",5,IF(L109="A",7,10)),IF(D109="SE",IF(L109="L",4,IF(L109="A",5,7)),IF(OR(D109="EE",D109="CE"),IF(L109="L",3,IF(L109="A",4,6)))))))</f>
        <v/>
      </c>
      <c r="O109" s="59">
        <f>IF(E109&lt;&gt;"",VLOOKUP(E109,$P180:$Q211,2,FALSE),"-")</f>
        <v/>
      </c>
      <c r="P109" s="50">
        <f>IF(OR(E109="Manutenção Interface",E109="Paginas Estáticas"),J109*O109,
IF(OR(D109="",E109=""),"",
N109*O109))</f>
        <v/>
      </c>
      <c r="Q109" s="21" t="n"/>
      <c r="S109" s="69">
        <f>IF(OR(M109="Baixa",E109="Manutenção Interface",E109="Paginas Estáticas"),1,0)</f>
        <v/>
      </c>
      <c r="T109" s="69">
        <f>IF(OR(M109="Média",M109="Alta"),1,0)</f>
        <v/>
      </c>
    </row>
    <row r="110" ht="14.25" customHeight="1" s="30">
      <c r="B110" s="105" t="n"/>
      <c r="C110" s="102" t="n"/>
      <c r="D110" s="19" t="n"/>
      <c r="E110" s="57" t="n"/>
      <c r="F110" s="57" t="n"/>
      <c r="G110" s="57" t="n"/>
      <c r="H110" s="57" t="n"/>
      <c r="I110" s="57" t="n"/>
      <c r="J110" s="57" t="n"/>
      <c r="K110" s="57">
        <f>CONCATENATE(D110,L110)</f>
        <v/>
      </c>
      <c r="L110" s="57">
        <f>IF(OR(ISBLANK(F110),ISBLANK(H110)),IF(OR(D110="ALI",D110="AIE"),"L",IF(ISBLANK(D110),"","A")),IF(D110="EE",IF(H110&gt;=3,IF(F110&gt;=5,"H","A"),IF(H110&gt;=2,IF(F110&gt;=16,"H",IF(F110&lt;=4,"L","A")),IF(F110&lt;=15,"L","A"))),IF(OR(D110="SE",D110="CE"),IF(H110&gt;=4,IF(F110&gt;=6,"H","A"),IF(H110&gt;=2,IF(F110&gt;=20,"H",IF(F110&lt;=5,"L","A")),IF(F110&lt;=19,"L","A"))),IF(OR(D110="ALI",D110="AIE"),IF(H110&gt;=6,IF(F110&gt;=20,"H","A"),IF(H110&gt;=2,IF(F110&gt;=51,"H",IF(F110&lt;=19,"L","A")),IF(F110&lt;=50,"L","A")))))))</f>
        <v/>
      </c>
      <c r="M110" s="20">
        <f>IF(L110="L","Baixa",IF(L110="A","Média",IF(L110="","","Alta")))</f>
        <v/>
      </c>
      <c r="N110" s="21">
        <f>IF(ISBLANK(D110),"",IF(D110="ALI",IF(L110="L",7,IF(L110="A",10,15)),IF(D110="AIE",IF(L110="L",5,IF(L110="A",7,10)),IF(D110="SE",IF(L110="L",4,IF(L110="A",5,7)),IF(OR(D110="EE",D110="CE"),IF(L110="L",3,IF(L110="A",4,6)))))))</f>
        <v/>
      </c>
      <c r="O110" s="59">
        <f>IF(E110&lt;&gt;"",VLOOKUP(E110,$P180:$Q211,2,FALSE),"-")</f>
        <v/>
      </c>
      <c r="P110" s="50">
        <f>IF(OR(E110="Manutenção Interface",E110="Paginas Estáticas"),J110*O110,
IF(OR(D110="",E110=""),"",
N110*O110))</f>
        <v/>
      </c>
      <c r="Q110" s="21" t="n"/>
      <c r="S110" s="69">
        <f>IF(OR(M110="Baixa",E110="Manutenção Interface",E110="Paginas Estáticas"),1,0)</f>
        <v/>
      </c>
      <c r="T110" s="69">
        <f>IF(OR(M110="Média",M110="Alta"),1,0)</f>
        <v/>
      </c>
    </row>
    <row r="111" ht="14.25" customHeight="1" s="30">
      <c r="B111" s="105" t="n"/>
      <c r="C111" s="102" t="n"/>
      <c r="D111" s="19" t="n"/>
      <c r="E111" s="57" t="n"/>
      <c r="F111" s="57" t="n"/>
      <c r="G111" s="57" t="n"/>
      <c r="H111" s="57" t="n"/>
      <c r="I111" s="57" t="n"/>
      <c r="J111" s="57" t="n"/>
      <c r="K111" s="57">
        <f>CONCATENATE(D111,L111)</f>
        <v/>
      </c>
      <c r="L111" s="57">
        <f>IF(OR(ISBLANK(F111),ISBLANK(H111)),IF(OR(D111="ALI",D111="AIE"),"L",IF(ISBLANK(D111),"","A")),IF(D111="EE",IF(H111&gt;=3,IF(F111&gt;=5,"H","A"),IF(H111&gt;=2,IF(F111&gt;=16,"H",IF(F111&lt;=4,"L","A")),IF(F111&lt;=15,"L","A"))),IF(OR(D111="SE",D111="CE"),IF(H111&gt;=4,IF(F111&gt;=6,"H","A"),IF(H111&gt;=2,IF(F111&gt;=20,"H",IF(F111&lt;=5,"L","A")),IF(F111&lt;=19,"L","A"))),IF(OR(D111="ALI",D111="AIE"),IF(H111&gt;=6,IF(F111&gt;=20,"H","A"),IF(H111&gt;=2,IF(F111&gt;=51,"H",IF(F111&lt;=19,"L","A")),IF(F111&lt;=50,"L","A")))))))</f>
        <v/>
      </c>
      <c r="M111" s="20">
        <f>IF(L111="L","Baixa",IF(L111="A","Média",IF(L111="","","Alta")))</f>
        <v/>
      </c>
      <c r="N111" s="21">
        <f>IF(ISBLANK(D111),"",IF(D111="ALI",IF(L111="L",7,IF(L111="A",10,15)),IF(D111="AIE",IF(L111="L",5,IF(L111="A",7,10)),IF(D111="SE",IF(L111="L",4,IF(L111="A",5,7)),IF(OR(D111="EE",D111="CE"),IF(L111="L",3,IF(L111="A",4,6)))))))</f>
        <v/>
      </c>
      <c r="O111" s="59">
        <f>IF(E111&lt;&gt;"",VLOOKUP(E111,$P180:$Q211,2,FALSE),"-")</f>
        <v/>
      </c>
      <c r="P111" s="50">
        <f>IF(OR(E111="Manutenção Interface",E111="Paginas Estáticas"),J111*O111,
IF(OR(D111="",E111=""),"",
N111*O111))</f>
        <v/>
      </c>
      <c r="Q111" s="21" t="n"/>
      <c r="S111" s="69">
        <f>IF(OR(M111="Baixa",E111="Manutenção Interface",E111="Paginas Estáticas"),1,0)</f>
        <v/>
      </c>
      <c r="T111" s="69">
        <f>IF(OR(M111="Média",M111="Alta"),1,0)</f>
        <v/>
      </c>
    </row>
    <row r="112" ht="14.25" customHeight="1" s="30">
      <c r="B112" s="105" t="n"/>
      <c r="C112" s="102" t="n"/>
      <c r="D112" s="19" t="n"/>
      <c r="E112" s="57" t="n"/>
      <c r="F112" s="57" t="n"/>
      <c r="G112" s="57" t="n"/>
      <c r="H112" s="57" t="n"/>
      <c r="I112" s="57" t="n"/>
      <c r="J112" s="57" t="n"/>
      <c r="K112" s="57">
        <f>CONCATENATE(D112,L112)</f>
        <v/>
      </c>
      <c r="L112" s="57">
        <f>IF(OR(ISBLANK(F112),ISBLANK(H112)),IF(OR(D112="ALI",D112="AIE"),"L",IF(ISBLANK(D112),"","A")),IF(D112="EE",IF(H112&gt;=3,IF(F112&gt;=5,"H","A"),IF(H112&gt;=2,IF(F112&gt;=16,"H",IF(F112&lt;=4,"L","A")),IF(F112&lt;=15,"L","A"))),IF(OR(D112="SE",D112="CE"),IF(H112&gt;=4,IF(F112&gt;=6,"H","A"),IF(H112&gt;=2,IF(F112&gt;=20,"H",IF(F112&lt;=5,"L","A")),IF(F112&lt;=19,"L","A"))),IF(OR(D112="ALI",D112="AIE"),IF(H112&gt;=6,IF(F112&gt;=20,"H","A"),IF(H112&gt;=2,IF(F112&gt;=51,"H",IF(F112&lt;=19,"L","A")),IF(F112&lt;=50,"L","A")))))))</f>
        <v/>
      </c>
      <c r="M112" s="20">
        <f>IF(L112="L","Baixa",IF(L112="A","Média",IF(L112="","","Alta")))</f>
        <v/>
      </c>
      <c r="N112" s="21">
        <f>IF(ISBLANK(D112),"",IF(D112="ALI",IF(L112="L",7,IF(L112="A",10,15)),IF(D112="AIE",IF(L112="L",5,IF(L112="A",7,10)),IF(D112="SE",IF(L112="L",4,IF(L112="A",5,7)),IF(OR(D112="EE",D112="CE"),IF(L112="L",3,IF(L112="A",4,6)))))))</f>
        <v/>
      </c>
      <c r="O112" s="59">
        <f>IF(E112&lt;&gt;"",VLOOKUP(E112,$P180:$Q211,2,FALSE),"-")</f>
        <v/>
      </c>
      <c r="P112" s="50">
        <f>IF(OR(E112="Manutenção Interface",E112="Paginas Estáticas"),J112*O112,
IF(OR(D112="",E112=""),"",
N112*O112))</f>
        <v/>
      </c>
      <c r="Q112" s="21" t="n"/>
      <c r="S112" s="69">
        <f>IF(OR(M112="Baixa",E112="Manutenção Interface",E112="Paginas Estáticas"),1,0)</f>
        <v/>
      </c>
      <c r="T112" s="69">
        <f>IF(OR(M112="Média",M112="Alta"),1,0)</f>
        <v/>
      </c>
    </row>
    <row r="113" ht="14.25" customHeight="1" s="30">
      <c r="B113" s="105" t="n"/>
      <c r="C113" s="102" t="n"/>
      <c r="D113" s="19" t="n"/>
      <c r="E113" s="57" t="n"/>
      <c r="F113" s="57" t="n"/>
      <c r="G113" s="57" t="n"/>
      <c r="H113" s="57" t="n"/>
      <c r="I113" s="57" t="n"/>
      <c r="J113" s="57" t="n"/>
      <c r="K113" s="57">
        <f>CONCATENATE(D113,L113)</f>
        <v/>
      </c>
      <c r="L113" s="57">
        <f>IF(OR(ISBLANK(F113),ISBLANK(H113)),IF(OR(D113="ALI",D113="AIE"),"L",IF(ISBLANK(D113),"","A")),IF(D113="EE",IF(H113&gt;=3,IF(F113&gt;=5,"H","A"),IF(H113&gt;=2,IF(F113&gt;=16,"H",IF(F113&lt;=4,"L","A")),IF(F113&lt;=15,"L","A"))),IF(OR(D113="SE",D113="CE"),IF(H113&gt;=4,IF(F113&gt;=6,"H","A"),IF(H113&gt;=2,IF(F113&gt;=20,"H",IF(F113&lt;=5,"L","A")),IF(F113&lt;=19,"L","A"))),IF(OR(D113="ALI",D113="AIE"),IF(H113&gt;=6,IF(F113&gt;=20,"H","A"),IF(H113&gt;=2,IF(F113&gt;=51,"H",IF(F113&lt;=19,"L","A")),IF(F113&lt;=50,"L","A")))))))</f>
        <v/>
      </c>
      <c r="M113" s="20">
        <f>IF(L113="L","Baixa",IF(L113="A","Média",IF(L113="","","Alta")))</f>
        <v/>
      </c>
      <c r="N113" s="21">
        <f>IF(ISBLANK(D113),"",IF(D113="ALI",IF(L113="L",7,IF(L113="A",10,15)),IF(D113="AIE",IF(L113="L",5,IF(L113="A",7,10)),IF(D113="SE",IF(L113="L",4,IF(L113="A",5,7)),IF(OR(D113="EE",D113="CE"),IF(L113="L",3,IF(L113="A",4,6)))))))</f>
        <v/>
      </c>
      <c r="O113" s="59">
        <f>IF(E113&lt;&gt;"",VLOOKUP(E113,$P180:$Q211,2,FALSE),"-")</f>
        <v/>
      </c>
      <c r="P113" s="50">
        <f>IF(OR(E113="Manutenção Interface",E113="Paginas Estáticas"),J113*O113,
IF(OR(D113="",E113=""),"",
N113*O113))</f>
        <v/>
      </c>
      <c r="Q113" s="21" t="n"/>
      <c r="S113" s="69">
        <f>IF(OR(M113="Baixa",E113="Manutenção Interface",E113="Paginas Estáticas"),1,0)</f>
        <v/>
      </c>
      <c r="T113" s="69">
        <f>IF(OR(M113="Média",M113="Alta"),1,0)</f>
        <v/>
      </c>
    </row>
    <row r="114" ht="14.25" customHeight="1" s="30">
      <c r="B114" s="105" t="n"/>
      <c r="C114" s="102" t="n"/>
      <c r="D114" s="19" t="n"/>
      <c r="E114" s="57" t="n"/>
      <c r="F114" s="57" t="n"/>
      <c r="G114" s="57" t="n"/>
      <c r="H114" s="57" t="n"/>
      <c r="I114" s="57" t="n"/>
      <c r="J114" s="57" t="n"/>
      <c r="K114" s="57">
        <f>CONCATENATE(D114,L114)</f>
        <v/>
      </c>
      <c r="L114" s="57">
        <f>IF(OR(ISBLANK(F114),ISBLANK(H114)),IF(OR(D114="ALI",D114="AIE"),"L",IF(ISBLANK(D114),"","A")),IF(D114="EE",IF(H114&gt;=3,IF(F114&gt;=5,"H","A"),IF(H114&gt;=2,IF(F114&gt;=16,"H",IF(F114&lt;=4,"L","A")),IF(F114&lt;=15,"L","A"))),IF(OR(D114="SE",D114="CE"),IF(H114&gt;=4,IF(F114&gt;=6,"H","A"),IF(H114&gt;=2,IF(F114&gt;=20,"H",IF(F114&lt;=5,"L","A")),IF(F114&lt;=19,"L","A"))),IF(OR(D114="ALI",D114="AIE"),IF(H114&gt;=6,IF(F114&gt;=20,"H","A"),IF(H114&gt;=2,IF(F114&gt;=51,"H",IF(F114&lt;=19,"L","A")),IF(F114&lt;=50,"L","A")))))))</f>
        <v/>
      </c>
      <c r="M114" s="20">
        <f>IF(L114="L","Baixa",IF(L114="A","Média",IF(L114="","","Alta")))</f>
        <v/>
      </c>
      <c r="N114" s="21">
        <f>IF(ISBLANK(D114),"",IF(D114="ALI",IF(L114="L",7,IF(L114="A",10,15)),IF(D114="AIE",IF(L114="L",5,IF(L114="A",7,10)),IF(D114="SE",IF(L114="L",4,IF(L114="A",5,7)),IF(OR(D114="EE",D114="CE"),IF(L114="L",3,IF(L114="A",4,6)))))))</f>
        <v/>
      </c>
      <c r="O114" s="59">
        <f>IF(E114&lt;&gt;"",VLOOKUP(E114,$P180:$Q211,2,FALSE),"-")</f>
        <v/>
      </c>
      <c r="P114" s="50">
        <f>IF(OR(E114="Manutenção Interface",E114="Paginas Estáticas"),J114*O114,
IF(OR(D114="",E114=""),"",
N114*O114))</f>
        <v/>
      </c>
      <c r="Q114" s="21" t="n"/>
      <c r="S114" s="69">
        <f>IF(OR(M114="Baixa",E114="Manutenção Interface",E114="Paginas Estáticas"),1,0)</f>
        <v/>
      </c>
      <c r="T114" s="69">
        <f>IF(OR(M114="Média",M114="Alta"),1,0)</f>
        <v/>
      </c>
    </row>
    <row r="115" ht="14.25" customHeight="1" s="30">
      <c r="B115" s="105" t="n"/>
      <c r="C115" s="102" t="n"/>
      <c r="D115" s="19" t="n"/>
      <c r="E115" s="57" t="n"/>
      <c r="F115" s="57" t="n"/>
      <c r="G115" s="57" t="n"/>
      <c r="H115" s="57" t="n"/>
      <c r="I115" s="57" t="n"/>
      <c r="J115" s="57" t="n"/>
      <c r="K115" s="57">
        <f>CONCATENATE(D115,L115)</f>
        <v/>
      </c>
      <c r="L115" s="57">
        <f>IF(OR(ISBLANK(F115),ISBLANK(H115)),IF(OR(D115="ALI",D115="AIE"),"L",IF(ISBLANK(D115),"","A")),IF(D115="EE",IF(H115&gt;=3,IF(F115&gt;=5,"H","A"),IF(H115&gt;=2,IF(F115&gt;=16,"H",IF(F115&lt;=4,"L","A")),IF(F115&lt;=15,"L","A"))),IF(OR(D115="SE",D115="CE"),IF(H115&gt;=4,IF(F115&gt;=6,"H","A"),IF(H115&gt;=2,IF(F115&gt;=20,"H",IF(F115&lt;=5,"L","A")),IF(F115&lt;=19,"L","A"))),IF(OR(D115="ALI",D115="AIE"),IF(H115&gt;=6,IF(F115&gt;=20,"H","A"),IF(H115&gt;=2,IF(F115&gt;=51,"H",IF(F115&lt;=19,"L","A")),IF(F115&lt;=50,"L","A")))))))</f>
        <v/>
      </c>
      <c r="M115" s="20">
        <f>IF(L115="L","Baixa",IF(L115="A","Média",IF(L115="","","Alta")))</f>
        <v/>
      </c>
      <c r="N115" s="21">
        <f>IF(ISBLANK(D115),"",IF(D115="ALI",IF(L115="L",7,IF(L115="A",10,15)),IF(D115="AIE",IF(L115="L",5,IF(L115="A",7,10)),IF(D115="SE",IF(L115="L",4,IF(L115="A",5,7)),IF(OR(D115="EE",D115="CE"),IF(L115="L",3,IF(L115="A",4,6)))))))</f>
        <v/>
      </c>
      <c r="O115" s="59">
        <f>IF(E115&lt;&gt;"",VLOOKUP(E115,$P180:$Q211,2,FALSE),"-")</f>
        <v/>
      </c>
      <c r="P115" s="50">
        <f>IF(OR(E115="Manutenção Interface",E115="Paginas Estáticas"),J115*O115,
IF(OR(D115="",E115=""),"",
N115*O115))</f>
        <v/>
      </c>
      <c r="Q115" s="21" t="n"/>
      <c r="S115" s="69">
        <f>IF(OR(M115="Baixa",E115="Manutenção Interface",E115="Paginas Estáticas"),1,0)</f>
        <v/>
      </c>
      <c r="T115" s="69">
        <f>IF(OR(M115="Média",M115="Alta"),1,0)</f>
        <v/>
      </c>
    </row>
    <row r="116" ht="14.25" customHeight="1" s="30">
      <c r="B116" s="105" t="n"/>
      <c r="C116" s="102" t="n"/>
      <c r="D116" s="19" t="n"/>
      <c r="E116" s="57" t="n"/>
      <c r="F116" s="57" t="n"/>
      <c r="G116" s="57" t="n"/>
      <c r="H116" s="57" t="n"/>
      <c r="I116" s="57" t="n"/>
      <c r="J116" s="57" t="n"/>
      <c r="K116" s="57">
        <f>CONCATENATE(D116,L116)</f>
        <v/>
      </c>
      <c r="L116" s="57">
        <f>IF(OR(ISBLANK(F116),ISBLANK(H116)),IF(OR(D116="ALI",D116="AIE"),"L",IF(ISBLANK(D116),"","A")),IF(D116="EE",IF(H116&gt;=3,IF(F116&gt;=5,"H","A"),IF(H116&gt;=2,IF(F116&gt;=16,"H",IF(F116&lt;=4,"L","A")),IF(F116&lt;=15,"L","A"))),IF(OR(D116="SE",D116="CE"),IF(H116&gt;=4,IF(F116&gt;=6,"H","A"),IF(H116&gt;=2,IF(F116&gt;=20,"H",IF(F116&lt;=5,"L","A")),IF(F116&lt;=19,"L","A"))),IF(OR(D116="ALI",D116="AIE"),IF(H116&gt;=6,IF(F116&gt;=20,"H","A"),IF(H116&gt;=2,IF(F116&gt;=51,"H",IF(F116&lt;=19,"L","A")),IF(F116&lt;=50,"L","A")))))))</f>
        <v/>
      </c>
      <c r="M116" s="20">
        <f>IF(L116="L","Baixa",IF(L116="A","Média",IF(L116="","","Alta")))</f>
        <v/>
      </c>
      <c r="N116" s="21">
        <f>IF(ISBLANK(D116),"",IF(D116="ALI",IF(L116="L",7,IF(L116="A",10,15)),IF(D116="AIE",IF(L116="L",5,IF(L116="A",7,10)),IF(D116="SE",IF(L116="L",4,IF(L116="A",5,7)),IF(OR(D116="EE",D116="CE"),IF(L116="L",3,IF(L116="A",4,6)))))))</f>
        <v/>
      </c>
      <c r="O116" s="59">
        <f>IF(E116&lt;&gt;"",VLOOKUP(E116,$P180:$Q211,2,FALSE),"-")</f>
        <v/>
      </c>
      <c r="P116" s="50">
        <f>IF(OR(E116="Manutenção Interface",E116="Paginas Estáticas"),J116*O116,
IF(OR(D116="",E116=""),"",
N116*O116))</f>
        <v/>
      </c>
      <c r="Q116" s="21" t="n"/>
      <c r="S116" s="69">
        <f>IF(OR(M116="Baixa",E116="Manutenção Interface",E116="Paginas Estáticas"),1,0)</f>
        <v/>
      </c>
      <c r="T116" s="69">
        <f>IF(OR(M116="Média",M116="Alta"),1,0)</f>
        <v/>
      </c>
    </row>
    <row r="117" ht="14.25" customHeight="1" s="30">
      <c r="B117" s="105" t="n"/>
      <c r="C117" s="102" t="n"/>
      <c r="D117" s="19" t="n"/>
      <c r="E117" s="57" t="n"/>
      <c r="F117" s="57" t="n"/>
      <c r="G117" s="57" t="n"/>
      <c r="H117" s="57" t="n"/>
      <c r="I117" s="57" t="n"/>
      <c r="J117" s="57" t="n"/>
      <c r="K117" s="57">
        <f>CONCATENATE(D117,L117)</f>
        <v/>
      </c>
      <c r="L117" s="57">
        <f>IF(OR(ISBLANK(F117),ISBLANK(H117)),IF(OR(D117="ALI",D117="AIE"),"L",IF(ISBLANK(D117),"","A")),IF(D117="EE",IF(H117&gt;=3,IF(F117&gt;=5,"H","A"),IF(H117&gt;=2,IF(F117&gt;=16,"H",IF(F117&lt;=4,"L","A")),IF(F117&lt;=15,"L","A"))),IF(OR(D117="SE",D117="CE"),IF(H117&gt;=4,IF(F117&gt;=6,"H","A"),IF(H117&gt;=2,IF(F117&gt;=20,"H",IF(F117&lt;=5,"L","A")),IF(F117&lt;=19,"L","A"))),IF(OR(D117="ALI",D117="AIE"),IF(H117&gt;=6,IF(F117&gt;=20,"H","A"),IF(H117&gt;=2,IF(F117&gt;=51,"H",IF(F117&lt;=19,"L","A")),IF(F117&lt;=50,"L","A")))))))</f>
        <v/>
      </c>
      <c r="M117" s="20">
        <f>IF(L117="L","Baixa",IF(L117="A","Média",IF(L117="","","Alta")))</f>
        <v/>
      </c>
      <c r="N117" s="21">
        <f>IF(ISBLANK(D117),"",IF(D117="ALI",IF(L117="L",7,IF(L117="A",10,15)),IF(D117="AIE",IF(L117="L",5,IF(L117="A",7,10)),IF(D117="SE",IF(L117="L",4,IF(L117="A",5,7)),IF(OR(D117="EE",D117="CE"),IF(L117="L",3,IF(L117="A",4,6)))))))</f>
        <v/>
      </c>
      <c r="O117" s="59">
        <f>IF(E117&lt;&gt;"",VLOOKUP(E117,$P180:$Q211,2,FALSE),"-")</f>
        <v/>
      </c>
      <c r="P117" s="50">
        <f>IF(OR(E117="Manutenção Interface",E117="Paginas Estáticas"),J117*O117,
IF(OR(D117="",E117=""),"",
N117*O117))</f>
        <v/>
      </c>
      <c r="Q117" s="21" t="n"/>
      <c r="S117" s="69">
        <f>IF(OR(M117="Baixa",E117="Manutenção Interface",E117="Paginas Estáticas"),1,0)</f>
        <v/>
      </c>
      <c r="T117" s="69">
        <f>IF(OR(M117="Média",M117="Alta"),1,0)</f>
        <v/>
      </c>
    </row>
    <row r="118" ht="14.25" customHeight="1" s="30">
      <c r="B118" s="105" t="n"/>
      <c r="C118" s="102" t="n"/>
      <c r="D118" s="19" t="n"/>
      <c r="E118" s="57" t="n"/>
      <c r="F118" s="57" t="n"/>
      <c r="G118" s="57" t="n"/>
      <c r="H118" s="57" t="n"/>
      <c r="I118" s="57" t="n"/>
      <c r="J118" s="57" t="n"/>
      <c r="K118" s="57">
        <f>CONCATENATE(D118,L118)</f>
        <v/>
      </c>
      <c r="L118" s="57">
        <f>IF(OR(ISBLANK(F118),ISBLANK(H118)),IF(OR(D118="ALI",D118="AIE"),"L",IF(ISBLANK(D118),"","A")),IF(D118="EE",IF(H118&gt;=3,IF(F118&gt;=5,"H","A"),IF(H118&gt;=2,IF(F118&gt;=16,"H",IF(F118&lt;=4,"L","A")),IF(F118&lt;=15,"L","A"))),IF(OR(D118="SE",D118="CE"),IF(H118&gt;=4,IF(F118&gt;=6,"H","A"),IF(H118&gt;=2,IF(F118&gt;=20,"H",IF(F118&lt;=5,"L","A")),IF(F118&lt;=19,"L","A"))),IF(OR(D118="ALI",D118="AIE"),IF(H118&gt;=6,IF(F118&gt;=20,"H","A"),IF(H118&gt;=2,IF(F118&gt;=51,"H",IF(F118&lt;=19,"L","A")),IF(F118&lt;=50,"L","A")))))))</f>
        <v/>
      </c>
      <c r="M118" s="20">
        <f>IF(L118="L","Baixa",IF(L118="A","Média",IF(L118="","","Alta")))</f>
        <v/>
      </c>
      <c r="N118" s="21">
        <f>IF(ISBLANK(D118),"",IF(D118="ALI",IF(L118="L",7,IF(L118="A",10,15)),IF(D118="AIE",IF(L118="L",5,IF(L118="A",7,10)),IF(D118="SE",IF(L118="L",4,IF(L118="A",5,7)),IF(OR(D118="EE",D118="CE"),IF(L118="L",3,IF(L118="A",4,6)))))))</f>
        <v/>
      </c>
      <c r="O118" s="59">
        <f>IF(E118&lt;&gt;"",VLOOKUP(E118,$P180:$Q211,2,FALSE),"-")</f>
        <v/>
      </c>
      <c r="P118" s="50">
        <f>IF(OR(E118="Manutenção Interface",E118="Paginas Estáticas"),J118*O118,
IF(OR(D118="",E118=""),"",
N118*O118))</f>
        <v/>
      </c>
      <c r="Q118" s="21" t="n"/>
      <c r="S118" s="69">
        <f>IF(OR(M118="Baixa",E118="Manutenção Interface",E118="Paginas Estáticas"),1,0)</f>
        <v/>
      </c>
      <c r="T118" s="69">
        <f>IF(OR(M118="Média",M118="Alta"),1,0)</f>
        <v/>
      </c>
    </row>
    <row r="119" ht="14.25" customHeight="1" s="30">
      <c r="B119" s="105" t="n"/>
      <c r="C119" s="102" t="n"/>
      <c r="D119" s="19" t="n"/>
      <c r="E119" s="57" t="n"/>
      <c r="F119" s="57" t="n"/>
      <c r="G119" s="57" t="n"/>
      <c r="H119" s="57" t="n"/>
      <c r="I119" s="57" t="n"/>
      <c r="J119" s="57" t="n"/>
      <c r="K119" s="57">
        <f>CONCATENATE(D119,L119)</f>
        <v/>
      </c>
      <c r="L119" s="57">
        <f>IF(OR(ISBLANK(F119),ISBLANK(H119)),IF(OR(D119="ALI",D119="AIE"),"L",IF(ISBLANK(D119),"","A")),IF(D119="EE",IF(H119&gt;=3,IF(F119&gt;=5,"H","A"),IF(H119&gt;=2,IF(F119&gt;=16,"H",IF(F119&lt;=4,"L","A")),IF(F119&lt;=15,"L","A"))),IF(OR(D119="SE",D119="CE"),IF(H119&gt;=4,IF(F119&gt;=6,"H","A"),IF(H119&gt;=2,IF(F119&gt;=20,"H",IF(F119&lt;=5,"L","A")),IF(F119&lt;=19,"L","A"))),IF(OR(D119="ALI",D119="AIE"),IF(H119&gt;=6,IF(F119&gt;=20,"H","A"),IF(H119&gt;=2,IF(F119&gt;=51,"H",IF(F119&lt;=19,"L","A")),IF(F119&lt;=50,"L","A")))))))</f>
        <v/>
      </c>
      <c r="M119" s="20">
        <f>IF(L119="L","Baixa",IF(L119="A","Média",IF(L119="","","Alta")))</f>
        <v/>
      </c>
      <c r="N119" s="21">
        <f>IF(ISBLANK(D119),"",IF(D119="ALI",IF(L119="L",7,IF(L119="A",10,15)),IF(D119="AIE",IF(L119="L",5,IF(L119="A",7,10)),IF(D119="SE",IF(L119="L",4,IF(L119="A",5,7)),IF(OR(D119="EE",D119="CE"),IF(L119="L",3,IF(L119="A",4,6)))))))</f>
        <v/>
      </c>
      <c r="O119" s="59">
        <f>IF(E119&lt;&gt;"",VLOOKUP(E119,$P180:$Q211,2,FALSE),"-")</f>
        <v/>
      </c>
      <c r="P119" s="50">
        <f>IF(OR(E119="Manutenção Interface",E119="Paginas Estáticas"),J119*O119,
IF(OR(D119="",E119=""),"",
N119*O119))</f>
        <v/>
      </c>
      <c r="Q119" s="21" t="n"/>
      <c r="S119" s="69">
        <f>IF(OR(M119="Baixa",E119="Manutenção Interface",E119="Paginas Estáticas"),1,0)</f>
        <v/>
      </c>
      <c r="T119" s="69">
        <f>IF(OR(M119="Média",M119="Alta"),1,0)</f>
        <v/>
      </c>
    </row>
    <row r="120" ht="14.25" customHeight="1" s="30">
      <c r="B120" s="105" t="n"/>
      <c r="C120" s="102" t="n"/>
      <c r="D120" s="19" t="n"/>
      <c r="E120" s="57" t="n"/>
      <c r="F120" s="57" t="n"/>
      <c r="G120" s="57" t="n"/>
      <c r="H120" s="57" t="n"/>
      <c r="I120" s="57" t="n"/>
      <c r="J120" s="57" t="n"/>
      <c r="K120" s="57">
        <f>CONCATENATE(D120,L120)</f>
        <v/>
      </c>
      <c r="L120" s="57">
        <f>IF(OR(ISBLANK(F120),ISBLANK(H120)),IF(OR(D120="ALI",D120="AIE"),"L",IF(ISBLANK(D120),"","A")),IF(D120="EE",IF(H120&gt;=3,IF(F120&gt;=5,"H","A"),IF(H120&gt;=2,IF(F120&gt;=16,"H",IF(F120&lt;=4,"L","A")),IF(F120&lt;=15,"L","A"))),IF(OR(D120="SE",D120="CE"),IF(H120&gt;=4,IF(F120&gt;=6,"H","A"),IF(H120&gt;=2,IF(F120&gt;=20,"H",IF(F120&lt;=5,"L","A")),IF(F120&lt;=19,"L","A"))),IF(OR(D120="ALI",D120="AIE"),IF(H120&gt;=6,IF(F120&gt;=20,"H","A"),IF(H120&gt;=2,IF(F120&gt;=51,"H",IF(F120&lt;=19,"L","A")),IF(F120&lt;=50,"L","A")))))))</f>
        <v/>
      </c>
      <c r="M120" s="20">
        <f>IF(L120="L","Baixa",IF(L120="A","Média",IF(L120="","","Alta")))</f>
        <v/>
      </c>
      <c r="N120" s="21">
        <f>IF(ISBLANK(D120),"",IF(D120="ALI",IF(L120="L",7,IF(L120="A",10,15)),IF(D120="AIE",IF(L120="L",5,IF(L120="A",7,10)),IF(D120="SE",IF(L120="L",4,IF(L120="A",5,7)),IF(OR(D120="EE",D120="CE"),IF(L120="L",3,IF(L120="A",4,6)))))))</f>
        <v/>
      </c>
      <c r="O120" s="59">
        <f>IF(E120&lt;&gt;"",VLOOKUP(E120,$P180:$Q211,2,FALSE),"-")</f>
        <v/>
      </c>
      <c r="P120" s="50">
        <f>IF(OR(E120="Manutenção Interface",E120="Paginas Estáticas"),J120*O120,
IF(OR(D120="",E120=""),"",
N120*O120))</f>
        <v/>
      </c>
      <c r="Q120" s="21" t="n"/>
      <c r="S120" s="69">
        <f>IF(OR(M120="Baixa",E120="Manutenção Interface",E120="Paginas Estáticas"),1,0)</f>
        <v/>
      </c>
      <c r="T120" s="69">
        <f>IF(OR(M120="Média",M120="Alta"),1,0)</f>
        <v/>
      </c>
    </row>
    <row r="121" ht="14.25" customHeight="1" s="30">
      <c r="B121" s="105" t="n"/>
      <c r="C121" s="102" t="n"/>
      <c r="D121" s="19" t="n"/>
      <c r="E121" s="57" t="n"/>
      <c r="F121" s="57" t="n"/>
      <c r="G121" s="57" t="n"/>
      <c r="H121" s="57" t="n"/>
      <c r="I121" s="57" t="n"/>
      <c r="J121" s="57" t="n"/>
      <c r="K121" s="57">
        <f>CONCATENATE(D121,L121)</f>
        <v/>
      </c>
      <c r="L121" s="57">
        <f>IF(OR(ISBLANK(F121),ISBLANK(H121)),IF(OR(D121="ALI",D121="AIE"),"L",IF(ISBLANK(D121),"","A")),IF(D121="EE",IF(H121&gt;=3,IF(F121&gt;=5,"H","A"),IF(H121&gt;=2,IF(F121&gt;=16,"H",IF(F121&lt;=4,"L","A")),IF(F121&lt;=15,"L","A"))),IF(OR(D121="SE",D121="CE"),IF(H121&gt;=4,IF(F121&gt;=6,"H","A"),IF(H121&gt;=2,IF(F121&gt;=20,"H",IF(F121&lt;=5,"L","A")),IF(F121&lt;=19,"L","A"))),IF(OR(D121="ALI",D121="AIE"),IF(H121&gt;=6,IF(F121&gt;=20,"H","A"),IF(H121&gt;=2,IF(F121&gt;=51,"H",IF(F121&lt;=19,"L","A")),IF(F121&lt;=50,"L","A")))))))</f>
        <v/>
      </c>
      <c r="M121" s="20">
        <f>IF(L121="L","Baixa",IF(L121="A","Média",IF(L121="","","Alta")))</f>
        <v/>
      </c>
      <c r="N121" s="21">
        <f>IF(ISBLANK(D121),"",IF(D121="ALI",IF(L121="L",7,IF(L121="A",10,15)),IF(D121="AIE",IF(L121="L",5,IF(L121="A",7,10)),IF(D121="SE",IF(L121="L",4,IF(L121="A",5,7)),IF(OR(D121="EE",D121="CE"),IF(L121="L",3,IF(L121="A",4,6)))))))</f>
        <v/>
      </c>
      <c r="O121" s="59">
        <f>IF(E121&lt;&gt;"",VLOOKUP(E121,$P180:$Q211,2,FALSE),"-")</f>
        <v/>
      </c>
      <c r="P121" s="50">
        <f>IF(OR(E121="Manutenção Interface",E121="Paginas Estáticas"),J121*O121,
IF(OR(D121="",E121=""),"",
N121*O121))</f>
        <v/>
      </c>
      <c r="Q121" s="21" t="n"/>
      <c r="S121" s="69">
        <f>IF(OR(M121="Baixa",E121="Manutenção Interface",E121="Paginas Estáticas"),1,0)</f>
        <v/>
      </c>
      <c r="T121" s="69">
        <f>IF(OR(M121="Média",M121="Alta"),1,0)</f>
        <v/>
      </c>
    </row>
    <row r="122" ht="14.25" customHeight="1" s="30">
      <c r="B122" s="105" t="n"/>
      <c r="C122" s="102" t="n"/>
      <c r="D122" s="19" t="n"/>
      <c r="E122" s="57" t="n"/>
      <c r="F122" s="57" t="n"/>
      <c r="G122" s="57" t="n"/>
      <c r="H122" s="57" t="n"/>
      <c r="I122" s="57" t="n"/>
      <c r="J122" s="57" t="n"/>
      <c r="K122" s="57">
        <f>CONCATENATE(D122,L122)</f>
        <v/>
      </c>
      <c r="L122" s="57">
        <f>IF(OR(ISBLANK(F122),ISBLANK(H122)),IF(OR(D122="ALI",D122="AIE"),"L",IF(ISBLANK(D122),"","A")),IF(D122="EE",IF(H122&gt;=3,IF(F122&gt;=5,"H","A"),IF(H122&gt;=2,IF(F122&gt;=16,"H",IF(F122&lt;=4,"L","A")),IF(F122&lt;=15,"L","A"))),IF(OR(D122="SE",D122="CE"),IF(H122&gt;=4,IF(F122&gt;=6,"H","A"),IF(H122&gt;=2,IF(F122&gt;=20,"H",IF(F122&lt;=5,"L","A")),IF(F122&lt;=19,"L","A"))),IF(OR(D122="ALI",D122="AIE"),IF(H122&gt;=6,IF(F122&gt;=20,"H","A"),IF(H122&gt;=2,IF(F122&gt;=51,"H",IF(F122&lt;=19,"L","A")),IF(F122&lt;=50,"L","A")))))))</f>
        <v/>
      </c>
      <c r="M122" s="20">
        <f>IF(L122="L","Baixa",IF(L122="A","Média",IF(L122="","","Alta")))</f>
        <v/>
      </c>
      <c r="N122" s="21">
        <f>IF(ISBLANK(D122),"",IF(D122="ALI",IF(L122="L",7,IF(L122="A",10,15)),IF(D122="AIE",IF(L122="L",5,IF(L122="A",7,10)),IF(D122="SE",IF(L122="L",4,IF(L122="A",5,7)),IF(OR(D122="EE",D122="CE"),IF(L122="L",3,IF(L122="A",4,6)))))))</f>
        <v/>
      </c>
      <c r="O122" s="59">
        <f>IF(E122&lt;&gt;"",VLOOKUP(E122,$P180:$Q211,2,FALSE),"-")</f>
        <v/>
      </c>
      <c r="P122" s="50">
        <f>IF(OR(E122="Manutenção Interface",E122="Paginas Estáticas"),J122*O122,
IF(OR(D122="",E122=""),"",
N122*O122))</f>
        <v/>
      </c>
      <c r="Q122" s="21" t="n"/>
      <c r="S122" s="69">
        <f>IF(OR(M122="Baixa",E122="Manutenção Interface",E122="Paginas Estáticas"),1,0)</f>
        <v/>
      </c>
      <c r="T122" s="69">
        <f>IF(OR(M122="Média",M122="Alta"),1,0)</f>
        <v/>
      </c>
    </row>
    <row r="123" ht="14.25" customHeight="1" s="30">
      <c r="B123" s="105" t="n"/>
      <c r="C123" s="102" t="n"/>
      <c r="D123" s="19" t="n"/>
      <c r="E123" s="57" t="n"/>
      <c r="F123" s="57" t="n"/>
      <c r="G123" s="57" t="n"/>
      <c r="H123" s="57" t="n"/>
      <c r="I123" s="57" t="n"/>
      <c r="J123" s="57" t="n"/>
      <c r="K123" s="57">
        <f>CONCATENATE(D123,L123)</f>
        <v/>
      </c>
      <c r="L123" s="57">
        <f>IF(OR(ISBLANK(F123),ISBLANK(H123)),IF(OR(D123="ALI",D123="AIE"),"L",IF(ISBLANK(D123),"","A")),IF(D123="EE",IF(H123&gt;=3,IF(F123&gt;=5,"H","A"),IF(H123&gt;=2,IF(F123&gt;=16,"H",IF(F123&lt;=4,"L","A")),IF(F123&lt;=15,"L","A"))),IF(OR(D123="SE",D123="CE"),IF(H123&gt;=4,IF(F123&gt;=6,"H","A"),IF(H123&gt;=2,IF(F123&gt;=20,"H",IF(F123&lt;=5,"L","A")),IF(F123&lt;=19,"L","A"))),IF(OR(D123="ALI",D123="AIE"),IF(H123&gt;=6,IF(F123&gt;=20,"H","A"),IF(H123&gt;=2,IF(F123&gt;=51,"H",IF(F123&lt;=19,"L","A")),IF(F123&lt;=50,"L","A")))))))</f>
        <v/>
      </c>
      <c r="M123" s="20">
        <f>IF(L123="L","Baixa",IF(L123="A","Média",IF(L123="","","Alta")))</f>
        <v/>
      </c>
      <c r="N123" s="21">
        <f>IF(ISBLANK(D123),"",IF(D123="ALI",IF(L123="L",7,IF(L123="A",10,15)),IF(D123="AIE",IF(L123="L",5,IF(L123="A",7,10)),IF(D123="SE",IF(L123="L",4,IF(L123="A",5,7)),IF(OR(D123="EE",D123="CE"),IF(L123="L",3,IF(L123="A",4,6)))))))</f>
        <v/>
      </c>
      <c r="O123" s="59">
        <f>IF(E123&lt;&gt;"",VLOOKUP(E123,$P180:$Q211,2,FALSE),"-")</f>
        <v/>
      </c>
      <c r="P123" s="50">
        <f>IF(OR(E123="Manutenção Interface",E123="Paginas Estáticas"),J123*O123,
IF(OR(D123="",E123=""),"",
N123*O123))</f>
        <v/>
      </c>
      <c r="Q123" s="21" t="n"/>
      <c r="S123" s="69">
        <f>IF(OR(M123="Baixa",E123="Manutenção Interface",E123="Paginas Estáticas"),1,0)</f>
        <v/>
      </c>
      <c r="T123" s="69">
        <f>IF(OR(M123="Média",M123="Alta"),1,0)</f>
        <v/>
      </c>
    </row>
    <row r="124" ht="14.25" customHeight="1" s="30">
      <c r="B124" s="105" t="n"/>
      <c r="C124" s="102" t="n"/>
      <c r="D124" s="19" t="n"/>
      <c r="E124" s="57" t="n"/>
      <c r="F124" s="57" t="n"/>
      <c r="G124" s="57" t="n"/>
      <c r="H124" s="57" t="n"/>
      <c r="I124" s="57" t="n"/>
      <c r="J124" s="57" t="n"/>
      <c r="K124" s="57">
        <f>CONCATENATE(D124,L124)</f>
        <v/>
      </c>
      <c r="L124" s="57">
        <f>IF(OR(ISBLANK(F124),ISBLANK(H124)),IF(OR(D124="ALI",D124="AIE"),"L",IF(ISBLANK(D124),"","A")),IF(D124="EE",IF(H124&gt;=3,IF(F124&gt;=5,"H","A"),IF(H124&gt;=2,IF(F124&gt;=16,"H",IF(F124&lt;=4,"L","A")),IF(F124&lt;=15,"L","A"))),IF(OR(D124="SE",D124="CE"),IF(H124&gt;=4,IF(F124&gt;=6,"H","A"),IF(H124&gt;=2,IF(F124&gt;=20,"H",IF(F124&lt;=5,"L","A")),IF(F124&lt;=19,"L","A"))),IF(OR(D124="ALI",D124="AIE"),IF(H124&gt;=6,IF(F124&gt;=20,"H","A"),IF(H124&gt;=2,IF(F124&gt;=51,"H",IF(F124&lt;=19,"L","A")),IF(F124&lt;=50,"L","A")))))))</f>
        <v/>
      </c>
      <c r="M124" s="20">
        <f>IF(L124="L","Baixa",IF(L124="A","Média",IF(L124="","","Alta")))</f>
        <v/>
      </c>
      <c r="N124" s="21">
        <f>IF(ISBLANK(D124),"",IF(D124="ALI",IF(L124="L",7,IF(L124="A",10,15)),IF(D124="AIE",IF(L124="L",5,IF(L124="A",7,10)),IF(D124="SE",IF(L124="L",4,IF(L124="A",5,7)),IF(OR(D124="EE",D124="CE"),IF(L124="L",3,IF(L124="A",4,6)))))))</f>
        <v/>
      </c>
      <c r="O124" s="59">
        <f>IF(E124&lt;&gt;"",VLOOKUP(E124,$P180:$Q211,2,FALSE),"-")</f>
        <v/>
      </c>
      <c r="P124" s="50">
        <f>IF(OR(E124="Manutenção Interface",E124="Paginas Estáticas"),J124*O124,
IF(OR(D124="",E124=""),"",
N124*O124))</f>
        <v/>
      </c>
      <c r="Q124" s="21" t="n"/>
      <c r="S124" s="69">
        <f>IF(OR(M124="Baixa",E124="Manutenção Interface",E124="Paginas Estáticas"),1,0)</f>
        <v/>
      </c>
      <c r="T124" s="69">
        <f>IF(OR(M124="Média",M124="Alta"),1,0)</f>
        <v/>
      </c>
    </row>
    <row r="125" ht="14.25" customHeight="1" s="30">
      <c r="B125" s="105" t="n"/>
      <c r="C125" s="102" t="n"/>
      <c r="D125" s="19" t="n"/>
      <c r="E125" s="57" t="n"/>
      <c r="F125" s="57" t="n"/>
      <c r="G125" s="57" t="n"/>
      <c r="H125" s="57" t="n"/>
      <c r="I125" s="57" t="n"/>
      <c r="J125" s="57" t="n"/>
      <c r="K125" s="57">
        <f>CONCATENATE(D125,L125)</f>
        <v/>
      </c>
      <c r="L125" s="57">
        <f>IF(OR(ISBLANK(F125),ISBLANK(H125)),IF(OR(D125="ALI",D125="AIE"),"L",IF(ISBLANK(D125),"","A")),IF(D125="EE",IF(H125&gt;=3,IF(F125&gt;=5,"H","A"),IF(H125&gt;=2,IF(F125&gt;=16,"H",IF(F125&lt;=4,"L","A")),IF(F125&lt;=15,"L","A"))),IF(OR(D125="SE",D125="CE"),IF(H125&gt;=4,IF(F125&gt;=6,"H","A"),IF(H125&gt;=2,IF(F125&gt;=20,"H",IF(F125&lt;=5,"L","A")),IF(F125&lt;=19,"L","A"))),IF(OR(D125="ALI",D125="AIE"),IF(H125&gt;=6,IF(F125&gt;=20,"H","A"),IF(H125&gt;=2,IF(F125&gt;=51,"H",IF(F125&lt;=19,"L","A")),IF(F125&lt;=50,"L","A")))))))</f>
        <v/>
      </c>
      <c r="M125" s="20">
        <f>IF(L125="L","Baixa",IF(L125="A","Média",IF(L125="","","Alta")))</f>
        <v/>
      </c>
      <c r="N125" s="21">
        <f>IF(ISBLANK(D125),"",IF(D125="ALI",IF(L125="L",7,IF(L125="A",10,15)),IF(D125="AIE",IF(L125="L",5,IF(L125="A",7,10)),IF(D125="SE",IF(L125="L",4,IF(L125="A",5,7)),IF(OR(D125="EE",D125="CE"),IF(L125="L",3,IF(L125="A",4,6)))))))</f>
        <v/>
      </c>
      <c r="O125" s="59">
        <f>IF(E125&lt;&gt;"",VLOOKUP(E125,$P180:$Q211,2,FALSE),"-")</f>
        <v/>
      </c>
      <c r="P125" s="50">
        <f>IF(OR(E125="Manutenção Interface",E125="Paginas Estáticas"),J125*O125,
IF(OR(D125="",E125=""),"",
N125*O125))</f>
        <v/>
      </c>
      <c r="Q125" s="21" t="n"/>
      <c r="S125" s="69">
        <f>IF(OR(M125="Baixa",E125="Manutenção Interface",E125="Paginas Estáticas"),1,0)</f>
        <v/>
      </c>
      <c r="T125" s="69">
        <f>IF(OR(M125="Média",M125="Alta"),1,0)</f>
        <v/>
      </c>
    </row>
    <row r="126" ht="14.25" customHeight="1" s="30">
      <c r="B126" s="105" t="n"/>
      <c r="C126" s="102" t="n"/>
      <c r="D126" s="19" t="n"/>
      <c r="E126" s="57" t="n"/>
      <c r="F126" s="57" t="n"/>
      <c r="G126" s="57" t="n"/>
      <c r="H126" s="57" t="n"/>
      <c r="I126" s="57" t="n"/>
      <c r="J126" s="57" t="n"/>
      <c r="K126" s="57">
        <f>CONCATENATE(D126,L126)</f>
        <v/>
      </c>
      <c r="L126" s="57">
        <f>IF(OR(ISBLANK(F126),ISBLANK(H126)),IF(OR(D126="ALI",D126="AIE"),"L",IF(ISBLANK(D126),"","A")),IF(D126="EE",IF(H126&gt;=3,IF(F126&gt;=5,"H","A"),IF(H126&gt;=2,IF(F126&gt;=16,"H",IF(F126&lt;=4,"L","A")),IF(F126&lt;=15,"L","A"))),IF(OR(D126="SE",D126="CE"),IF(H126&gt;=4,IF(F126&gt;=6,"H","A"),IF(H126&gt;=2,IF(F126&gt;=20,"H",IF(F126&lt;=5,"L","A")),IF(F126&lt;=19,"L","A"))),IF(OR(D126="ALI",D126="AIE"),IF(H126&gt;=6,IF(F126&gt;=20,"H","A"),IF(H126&gt;=2,IF(F126&gt;=51,"H",IF(F126&lt;=19,"L","A")),IF(F126&lt;=50,"L","A")))))))</f>
        <v/>
      </c>
      <c r="M126" s="20">
        <f>IF(L126="L","Baixa",IF(L126="A","Média",IF(L126="","","Alta")))</f>
        <v/>
      </c>
      <c r="N126" s="21">
        <f>IF(ISBLANK(D126),"",IF(D126="ALI",IF(L126="L",7,IF(L126="A",10,15)),IF(D126="AIE",IF(L126="L",5,IF(L126="A",7,10)),IF(D126="SE",IF(L126="L",4,IF(L126="A",5,7)),IF(OR(D126="EE",D126="CE"),IF(L126="L",3,IF(L126="A",4,6)))))))</f>
        <v/>
      </c>
      <c r="O126" s="59">
        <f>IF(E126&lt;&gt;"",VLOOKUP(E126,$P180:$Q211,2,FALSE),"-")</f>
        <v/>
      </c>
      <c r="P126" s="50">
        <f>IF(OR(E126="Manutenção Interface",E126="Paginas Estáticas"),J126*O126,
IF(OR(D126="",E126=""),"",
N126*O126))</f>
        <v/>
      </c>
      <c r="Q126" s="21" t="n"/>
      <c r="S126" s="69">
        <f>IF(OR(M126="Baixa",E126="Manutenção Interface",E126="Paginas Estáticas"),1,0)</f>
        <v/>
      </c>
      <c r="T126" s="69">
        <f>IF(OR(M126="Média",M126="Alta"),1,0)</f>
        <v/>
      </c>
    </row>
    <row r="127" ht="14.25" customHeight="1" s="30">
      <c r="B127" s="105" t="n"/>
      <c r="C127" s="102" t="n"/>
      <c r="D127" s="19" t="n"/>
      <c r="E127" s="57" t="n"/>
      <c r="F127" s="57" t="n"/>
      <c r="G127" s="57" t="n"/>
      <c r="H127" s="57" t="n"/>
      <c r="I127" s="57" t="n"/>
      <c r="J127" s="57" t="n"/>
      <c r="K127" s="57">
        <f>CONCATENATE(D127,L127)</f>
        <v/>
      </c>
      <c r="L127" s="57">
        <f>IF(OR(ISBLANK(F127),ISBLANK(H127)),IF(OR(D127="ALI",D127="AIE"),"L",IF(ISBLANK(D127),"","A")),IF(D127="EE",IF(H127&gt;=3,IF(F127&gt;=5,"H","A"),IF(H127&gt;=2,IF(F127&gt;=16,"H",IF(F127&lt;=4,"L","A")),IF(F127&lt;=15,"L","A"))),IF(OR(D127="SE",D127="CE"),IF(H127&gt;=4,IF(F127&gt;=6,"H","A"),IF(H127&gt;=2,IF(F127&gt;=20,"H",IF(F127&lt;=5,"L","A")),IF(F127&lt;=19,"L","A"))),IF(OR(D127="ALI",D127="AIE"),IF(H127&gt;=6,IF(F127&gt;=20,"H","A"),IF(H127&gt;=2,IF(F127&gt;=51,"H",IF(F127&lt;=19,"L","A")),IF(F127&lt;=50,"L","A")))))))</f>
        <v/>
      </c>
      <c r="M127" s="20">
        <f>IF(L127="L","Baixa",IF(L127="A","Média",IF(L127="","","Alta")))</f>
        <v/>
      </c>
      <c r="N127" s="21">
        <f>IF(ISBLANK(D127),"",IF(D127="ALI",IF(L127="L",7,IF(L127="A",10,15)),IF(D127="AIE",IF(L127="L",5,IF(L127="A",7,10)),IF(D127="SE",IF(L127="L",4,IF(L127="A",5,7)),IF(OR(D127="EE",D127="CE"),IF(L127="L",3,IF(L127="A",4,6)))))))</f>
        <v/>
      </c>
      <c r="O127" s="59">
        <f>IF(E127&lt;&gt;"",VLOOKUP(E127,$P180:$Q211,2,FALSE),"-")</f>
        <v/>
      </c>
      <c r="P127" s="50">
        <f>IF(OR(E127="Manutenção Interface",E127="Paginas Estáticas"),J127*O127,
IF(OR(D127="",E127=""),"",
N127*O127))</f>
        <v/>
      </c>
      <c r="Q127" s="21" t="n"/>
      <c r="S127" s="69">
        <f>IF(OR(M127="Baixa",E127="Manutenção Interface",E127="Paginas Estáticas"),1,0)</f>
        <v/>
      </c>
      <c r="T127" s="69">
        <f>IF(OR(M127="Média",M127="Alta"),1,0)</f>
        <v/>
      </c>
    </row>
    <row r="128" ht="14.25" customHeight="1" s="30">
      <c r="B128" s="105" t="n"/>
      <c r="C128" s="102" t="n"/>
      <c r="D128" s="19" t="n"/>
      <c r="E128" s="57" t="n"/>
      <c r="F128" s="57" t="n"/>
      <c r="G128" s="57" t="n"/>
      <c r="H128" s="57" t="n"/>
      <c r="I128" s="57" t="n"/>
      <c r="J128" s="57" t="n"/>
      <c r="K128" s="57">
        <f>CONCATENATE(D128,L128)</f>
        <v/>
      </c>
      <c r="L128" s="57">
        <f>IF(OR(ISBLANK(F128),ISBLANK(H128)),IF(OR(D128="ALI",D128="AIE"),"L",IF(ISBLANK(D128),"","A")),IF(D128="EE",IF(H128&gt;=3,IF(F128&gt;=5,"H","A"),IF(H128&gt;=2,IF(F128&gt;=16,"H",IF(F128&lt;=4,"L","A")),IF(F128&lt;=15,"L","A"))),IF(OR(D128="SE",D128="CE"),IF(H128&gt;=4,IF(F128&gt;=6,"H","A"),IF(H128&gt;=2,IF(F128&gt;=20,"H",IF(F128&lt;=5,"L","A")),IF(F128&lt;=19,"L","A"))),IF(OR(D128="ALI",D128="AIE"),IF(H128&gt;=6,IF(F128&gt;=20,"H","A"),IF(H128&gt;=2,IF(F128&gt;=51,"H",IF(F128&lt;=19,"L","A")),IF(F128&lt;=50,"L","A")))))))</f>
        <v/>
      </c>
      <c r="M128" s="20">
        <f>IF(L128="L","Baixa",IF(L128="A","Média",IF(L128="","","Alta")))</f>
        <v/>
      </c>
      <c r="N128" s="21">
        <f>IF(ISBLANK(D128),"",IF(D128="ALI",IF(L128="L",7,IF(L128="A",10,15)),IF(D128="AIE",IF(L128="L",5,IF(L128="A",7,10)),IF(D128="SE",IF(L128="L",4,IF(L128="A",5,7)),IF(OR(D128="EE",D128="CE"),IF(L128="L",3,IF(L128="A",4,6)))))))</f>
        <v/>
      </c>
      <c r="O128" s="59">
        <f>IF(E128&lt;&gt;"",VLOOKUP(E128,$P180:$Q211,2,FALSE),"-")</f>
        <v/>
      </c>
      <c r="P128" s="50">
        <f>IF(OR(E128="Manutenção Interface",E128="Paginas Estáticas"),J128*O128,
IF(OR(D128="",E128=""),"",
N128*O128))</f>
        <v/>
      </c>
      <c r="Q128" s="21" t="n"/>
      <c r="S128" s="69">
        <f>IF(OR(M128="Baixa",E128="Manutenção Interface",E128="Paginas Estáticas"),1,0)</f>
        <v/>
      </c>
      <c r="T128" s="69">
        <f>IF(OR(M128="Média",M128="Alta"),1,0)</f>
        <v/>
      </c>
    </row>
    <row r="129" ht="14.25" customHeight="1" s="30">
      <c r="B129" s="105" t="n"/>
      <c r="C129" s="102" t="n"/>
      <c r="D129" s="19" t="n"/>
      <c r="E129" s="57" t="n"/>
      <c r="F129" s="57" t="n"/>
      <c r="G129" s="57" t="n"/>
      <c r="H129" s="57" t="n"/>
      <c r="I129" s="57" t="n"/>
      <c r="J129" s="57" t="n"/>
      <c r="K129" s="57">
        <f>CONCATENATE(D129,L129)</f>
        <v/>
      </c>
      <c r="L129" s="57">
        <f>IF(OR(ISBLANK(F129),ISBLANK(H129)),IF(OR(D129="ALI",D129="AIE"),"L",IF(ISBLANK(D129),"","A")),IF(D129="EE",IF(H129&gt;=3,IF(F129&gt;=5,"H","A"),IF(H129&gt;=2,IF(F129&gt;=16,"H",IF(F129&lt;=4,"L","A")),IF(F129&lt;=15,"L","A"))),IF(OR(D129="SE",D129="CE"),IF(H129&gt;=4,IF(F129&gt;=6,"H","A"),IF(H129&gt;=2,IF(F129&gt;=20,"H",IF(F129&lt;=5,"L","A")),IF(F129&lt;=19,"L","A"))),IF(OR(D129="ALI",D129="AIE"),IF(H129&gt;=6,IF(F129&gt;=20,"H","A"),IF(H129&gt;=2,IF(F129&gt;=51,"H",IF(F129&lt;=19,"L","A")),IF(F129&lt;=50,"L","A")))))))</f>
        <v/>
      </c>
      <c r="M129" s="20">
        <f>IF(L129="L","Baixa",IF(L129="A","Média",IF(L129="","","Alta")))</f>
        <v/>
      </c>
      <c r="N129" s="21">
        <f>IF(ISBLANK(D129),"",IF(D129="ALI",IF(L129="L",7,IF(L129="A",10,15)),IF(D129="AIE",IF(L129="L",5,IF(L129="A",7,10)),IF(D129="SE",IF(L129="L",4,IF(L129="A",5,7)),IF(OR(D129="EE",D129="CE"),IF(L129="L",3,IF(L129="A",4,6)))))))</f>
        <v/>
      </c>
      <c r="O129" s="59">
        <f>IF(E129&lt;&gt;"",VLOOKUP(E129,$P180:$Q211,2,FALSE),"-")</f>
        <v/>
      </c>
      <c r="P129" s="50">
        <f>IF(OR(E129="Manutenção Interface",E129="Paginas Estáticas"),J129*O129,
IF(OR(D129="",E129=""),"",
N129*O129))</f>
        <v/>
      </c>
      <c r="Q129" s="21" t="n"/>
      <c r="S129" s="69">
        <f>IF(OR(M129="Baixa",E129="Manutenção Interface",E129="Paginas Estáticas"),1,0)</f>
        <v/>
      </c>
      <c r="T129" s="69">
        <f>IF(OR(M129="Média",M129="Alta"),1,0)</f>
        <v/>
      </c>
    </row>
    <row r="130" ht="14.25" customHeight="1" s="30">
      <c r="B130" s="105" t="n"/>
      <c r="C130" s="102" t="n"/>
      <c r="D130" s="19" t="n"/>
      <c r="E130" s="57" t="n"/>
      <c r="F130" s="57" t="n"/>
      <c r="G130" s="57" t="n"/>
      <c r="H130" s="57" t="n"/>
      <c r="I130" s="57" t="n"/>
      <c r="J130" s="57" t="n"/>
      <c r="K130" s="57">
        <f>CONCATENATE(D130,L130)</f>
        <v/>
      </c>
      <c r="L130" s="57">
        <f>IF(OR(ISBLANK(F130),ISBLANK(H130)),IF(OR(D130="ALI",D130="AIE"),"L",IF(ISBLANK(D130),"","A")),IF(D130="EE",IF(H130&gt;=3,IF(F130&gt;=5,"H","A"),IF(H130&gt;=2,IF(F130&gt;=16,"H",IF(F130&lt;=4,"L","A")),IF(F130&lt;=15,"L","A"))),IF(OR(D130="SE",D130="CE"),IF(H130&gt;=4,IF(F130&gt;=6,"H","A"),IF(H130&gt;=2,IF(F130&gt;=20,"H",IF(F130&lt;=5,"L","A")),IF(F130&lt;=19,"L","A"))),IF(OR(D130="ALI",D130="AIE"),IF(H130&gt;=6,IF(F130&gt;=20,"H","A"),IF(H130&gt;=2,IF(F130&gt;=51,"H",IF(F130&lt;=19,"L","A")),IF(F130&lt;=50,"L","A")))))))</f>
        <v/>
      </c>
      <c r="M130" s="20">
        <f>IF(L130="L","Baixa",IF(L130="A","Média",IF(L130="","","Alta")))</f>
        <v/>
      </c>
      <c r="N130" s="21">
        <f>IF(ISBLANK(D130),"",IF(D130="ALI",IF(L130="L",7,IF(L130="A",10,15)),IF(D130="AIE",IF(L130="L",5,IF(L130="A",7,10)),IF(D130="SE",IF(L130="L",4,IF(L130="A",5,7)),IF(OR(D130="EE",D130="CE"),IF(L130="L",3,IF(L130="A",4,6)))))))</f>
        <v/>
      </c>
      <c r="O130" s="59">
        <f>IF(E130&lt;&gt;"",VLOOKUP(E130,$P180:$Q211,2,FALSE),"-")</f>
        <v/>
      </c>
      <c r="P130" s="50">
        <f>IF(OR(E130="Manutenção Interface",E130="Paginas Estáticas"),J130*O130,
IF(OR(D130="",E130=""),"",
N130*O130))</f>
        <v/>
      </c>
      <c r="Q130" s="21" t="n"/>
      <c r="S130" s="69">
        <f>IF(OR(M130="Baixa",E130="Manutenção Interface",E130="Paginas Estáticas"),1,0)</f>
        <v/>
      </c>
      <c r="T130" s="69">
        <f>IF(OR(M130="Média",M130="Alta"),1,0)</f>
        <v/>
      </c>
    </row>
    <row r="131" ht="14.25" customHeight="1" s="30">
      <c r="B131" s="105" t="n"/>
      <c r="C131" s="102" t="n"/>
      <c r="D131" s="19" t="n"/>
      <c r="E131" s="57" t="n"/>
      <c r="F131" s="57" t="n"/>
      <c r="G131" s="57" t="n"/>
      <c r="H131" s="57" t="n"/>
      <c r="I131" s="57" t="n"/>
      <c r="J131" s="57" t="n"/>
      <c r="K131" s="57">
        <f>CONCATENATE(D131,L131)</f>
        <v/>
      </c>
      <c r="L131" s="57">
        <f>IF(OR(ISBLANK(F131),ISBLANK(H131)),IF(OR(D131="ALI",D131="AIE"),"L",IF(ISBLANK(D131),"","A")),IF(D131="EE",IF(H131&gt;=3,IF(F131&gt;=5,"H","A"),IF(H131&gt;=2,IF(F131&gt;=16,"H",IF(F131&lt;=4,"L","A")),IF(F131&lt;=15,"L","A"))),IF(OR(D131="SE",D131="CE"),IF(H131&gt;=4,IF(F131&gt;=6,"H","A"),IF(H131&gt;=2,IF(F131&gt;=20,"H",IF(F131&lt;=5,"L","A")),IF(F131&lt;=19,"L","A"))),IF(OR(D131="ALI",D131="AIE"),IF(H131&gt;=6,IF(F131&gt;=20,"H","A"),IF(H131&gt;=2,IF(F131&gt;=51,"H",IF(F131&lt;=19,"L","A")),IF(F131&lt;=50,"L","A")))))))</f>
        <v/>
      </c>
      <c r="M131" s="20">
        <f>IF(L131="L","Baixa",IF(L131="A","Média",IF(L131="","","Alta")))</f>
        <v/>
      </c>
      <c r="N131" s="21">
        <f>IF(ISBLANK(D131),"",IF(D131="ALI",IF(L131="L",7,IF(L131="A",10,15)),IF(D131="AIE",IF(L131="L",5,IF(L131="A",7,10)),IF(D131="SE",IF(L131="L",4,IF(L131="A",5,7)),IF(OR(D131="EE",D131="CE"),IF(L131="L",3,IF(L131="A",4,6)))))))</f>
        <v/>
      </c>
      <c r="O131" s="59">
        <f>IF(E131&lt;&gt;"",VLOOKUP(E131,$P180:$Q211,2,FALSE),"-")</f>
        <v/>
      </c>
      <c r="P131" s="50">
        <f>IF(OR(E131="Manutenção Interface",E131="Paginas Estáticas"),J131*O131,
IF(OR(D131="",E131=""),"",
N131*O131))</f>
        <v/>
      </c>
      <c r="Q131" s="21" t="n"/>
      <c r="S131" s="69">
        <f>IF(OR(M131="Baixa",E131="Manutenção Interface",E131="Paginas Estáticas"),1,0)</f>
        <v/>
      </c>
      <c r="T131" s="69">
        <f>IF(OR(M131="Média",M131="Alta"),1,0)</f>
        <v/>
      </c>
    </row>
    <row r="132" ht="14.25" customHeight="1" s="30">
      <c r="B132" s="105" t="n"/>
      <c r="C132" s="102" t="n"/>
      <c r="D132" s="19" t="n"/>
      <c r="E132" s="57" t="n"/>
      <c r="F132" s="57" t="n"/>
      <c r="G132" s="57" t="n"/>
      <c r="H132" s="57" t="n"/>
      <c r="I132" s="57" t="n"/>
      <c r="J132" s="57" t="n"/>
      <c r="K132" s="57">
        <f>CONCATENATE(D132,L132)</f>
        <v/>
      </c>
      <c r="L132" s="57">
        <f>IF(OR(ISBLANK(F132),ISBLANK(H132)),IF(OR(D132="ALI",D132="AIE"),"L",IF(ISBLANK(D132),"","A")),IF(D132="EE",IF(H132&gt;=3,IF(F132&gt;=5,"H","A"),IF(H132&gt;=2,IF(F132&gt;=16,"H",IF(F132&lt;=4,"L","A")),IF(F132&lt;=15,"L","A"))),IF(OR(D132="SE",D132="CE"),IF(H132&gt;=4,IF(F132&gt;=6,"H","A"),IF(H132&gt;=2,IF(F132&gt;=20,"H",IF(F132&lt;=5,"L","A")),IF(F132&lt;=19,"L","A"))),IF(OR(D132="ALI",D132="AIE"),IF(H132&gt;=6,IF(F132&gt;=20,"H","A"),IF(H132&gt;=2,IF(F132&gt;=51,"H",IF(F132&lt;=19,"L","A")),IF(F132&lt;=50,"L","A")))))))</f>
        <v/>
      </c>
      <c r="M132" s="20">
        <f>IF(L132="L","Baixa",IF(L132="A","Média",IF(L132="","","Alta")))</f>
        <v/>
      </c>
      <c r="N132" s="21">
        <f>IF(ISBLANK(D132),"",IF(D132="ALI",IF(L132="L",7,IF(L132="A",10,15)),IF(D132="AIE",IF(L132="L",5,IF(L132="A",7,10)),IF(D132="SE",IF(L132="L",4,IF(L132="A",5,7)),IF(OR(D132="EE",D132="CE"),IF(L132="L",3,IF(L132="A",4,6)))))))</f>
        <v/>
      </c>
      <c r="O132" s="59">
        <f>IF(E132&lt;&gt;"",VLOOKUP(E132,$P180:$Q211,2,FALSE),"-")</f>
        <v/>
      </c>
      <c r="P132" s="50">
        <f>IF(OR(E132="Manutenção Interface",E132="Paginas Estáticas"),J132*O132,
IF(OR(D132="",E132=""),"",
N132*O132))</f>
        <v/>
      </c>
      <c r="Q132" s="21" t="n"/>
      <c r="S132" s="69">
        <f>IF(OR(M132="Baixa",E132="Manutenção Interface",E132="Paginas Estáticas"),1,0)</f>
        <v/>
      </c>
      <c r="T132" s="69">
        <f>IF(OR(M132="Média",M132="Alta"),1,0)</f>
        <v/>
      </c>
    </row>
    <row r="133" ht="14.25" customHeight="1" s="30">
      <c r="B133" s="105" t="n"/>
      <c r="C133" s="102" t="n"/>
      <c r="D133" s="19" t="n"/>
      <c r="E133" s="57" t="n"/>
      <c r="F133" s="57" t="n"/>
      <c r="G133" s="57" t="n"/>
      <c r="H133" s="57" t="n"/>
      <c r="I133" s="57" t="n"/>
      <c r="J133" s="57" t="n"/>
      <c r="K133" s="57">
        <f>CONCATENATE(D133,L133)</f>
        <v/>
      </c>
      <c r="L133" s="57">
        <f>IF(OR(ISBLANK(F133),ISBLANK(H133)),IF(OR(D133="ALI",D133="AIE"),"L",IF(ISBLANK(D133),"","A")),IF(D133="EE",IF(H133&gt;=3,IF(F133&gt;=5,"H","A"),IF(H133&gt;=2,IF(F133&gt;=16,"H",IF(F133&lt;=4,"L","A")),IF(F133&lt;=15,"L","A"))),IF(OR(D133="SE",D133="CE"),IF(H133&gt;=4,IF(F133&gt;=6,"H","A"),IF(H133&gt;=2,IF(F133&gt;=20,"H",IF(F133&lt;=5,"L","A")),IF(F133&lt;=19,"L","A"))),IF(OR(D133="ALI",D133="AIE"),IF(H133&gt;=6,IF(F133&gt;=20,"H","A"),IF(H133&gt;=2,IF(F133&gt;=51,"H",IF(F133&lt;=19,"L","A")),IF(F133&lt;=50,"L","A")))))))</f>
        <v/>
      </c>
      <c r="M133" s="20">
        <f>IF(L133="L","Baixa",IF(L133="A","Média",IF(L133="","","Alta")))</f>
        <v/>
      </c>
      <c r="N133" s="21">
        <f>IF(ISBLANK(D133),"",IF(D133="ALI",IF(L133="L",7,IF(L133="A",10,15)),IF(D133="AIE",IF(L133="L",5,IF(L133="A",7,10)),IF(D133="SE",IF(L133="L",4,IF(L133="A",5,7)),IF(OR(D133="EE",D133="CE"),IF(L133="L",3,IF(L133="A",4,6)))))))</f>
        <v/>
      </c>
      <c r="O133" s="59">
        <f>IF(E133&lt;&gt;"",VLOOKUP(E133,$P180:$Q211,2,FALSE),"-")</f>
        <v/>
      </c>
      <c r="P133" s="50">
        <f>IF(OR(E133="Manutenção Interface",E133="Paginas Estáticas"),J133*O133,
IF(OR(D133="",E133=""),"",
N133*O133))</f>
        <v/>
      </c>
      <c r="Q133" s="21" t="n"/>
      <c r="S133" s="69">
        <f>IF(OR(M133="Baixa",E133="Manutenção Interface",E133="Paginas Estáticas"),1,0)</f>
        <v/>
      </c>
      <c r="T133" s="69">
        <f>IF(OR(M133="Média",M133="Alta"),1,0)</f>
        <v/>
      </c>
    </row>
    <row r="134" ht="14.25" customHeight="1" s="30">
      <c r="B134" s="105" t="n"/>
      <c r="C134" s="102" t="n"/>
      <c r="D134" s="19" t="n"/>
      <c r="E134" s="57" t="n"/>
      <c r="F134" s="57" t="n"/>
      <c r="G134" s="57" t="n"/>
      <c r="H134" s="57" t="n"/>
      <c r="I134" s="57" t="n"/>
      <c r="J134" s="57" t="n"/>
      <c r="K134" s="57">
        <f>CONCATENATE(D134,L134)</f>
        <v/>
      </c>
      <c r="L134" s="57">
        <f>IF(OR(ISBLANK(F134),ISBLANK(H134)),IF(OR(D134="ALI",D134="AIE"),"L",IF(ISBLANK(D134),"","A")),IF(D134="EE",IF(H134&gt;=3,IF(F134&gt;=5,"H","A"),IF(H134&gt;=2,IF(F134&gt;=16,"H",IF(F134&lt;=4,"L","A")),IF(F134&lt;=15,"L","A"))),IF(OR(D134="SE",D134="CE"),IF(H134&gt;=4,IF(F134&gt;=6,"H","A"),IF(H134&gt;=2,IF(F134&gt;=20,"H",IF(F134&lt;=5,"L","A")),IF(F134&lt;=19,"L","A"))),IF(OR(D134="ALI",D134="AIE"),IF(H134&gt;=6,IF(F134&gt;=20,"H","A"),IF(H134&gt;=2,IF(F134&gt;=51,"H",IF(F134&lt;=19,"L","A")),IF(F134&lt;=50,"L","A")))))))</f>
        <v/>
      </c>
      <c r="M134" s="20">
        <f>IF(L134="L","Baixa",IF(L134="A","Média",IF(L134="","","Alta")))</f>
        <v/>
      </c>
      <c r="N134" s="21">
        <f>IF(ISBLANK(D134),"",IF(D134="ALI",IF(L134="L",7,IF(L134="A",10,15)),IF(D134="AIE",IF(L134="L",5,IF(L134="A",7,10)),IF(D134="SE",IF(L134="L",4,IF(L134="A",5,7)),IF(OR(D134="EE",D134="CE"),IF(L134="L",3,IF(L134="A",4,6)))))))</f>
        <v/>
      </c>
      <c r="O134" s="59">
        <f>IF(E134&lt;&gt;"",VLOOKUP(E134,$P180:$Q211,2,FALSE),"-")</f>
        <v/>
      </c>
      <c r="P134" s="50">
        <f>IF(OR(E134="Manutenção Interface",E134="Paginas Estáticas"),J134*O134,
IF(OR(D134="",E134=""),"",
N134*O134))</f>
        <v/>
      </c>
      <c r="Q134" s="21" t="n"/>
      <c r="S134" s="69">
        <f>IF(OR(M134="Baixa",E134="Manutenção Interface",E134="Paginas Estáticas"),1,0)</f>
        <v/>
      </c>
      <c r="T134" s="69">
        <f>IF(OR(M134="Média",M134="Alta"),1,0)</f>
        <v/>
      </c>
    </row>
    <row r="135" ht="14.25" customHeight="1" s="30">
      <c r="B135" s="105" t="n"/>
      <c r="C135" s="102" t="n"/>
      <c r="D135" s="19" t="n"/>
      <c r="E135" s="57" t="n"/>
      <c r="F135" s="57" t="n"/>
      <c r="G135" s="57" t="n"/>
      <c r="H135" s="57" t="n"/>
      <c r="I135" s="57" t="n"/>
      <c r="J135" s="57" t="n"/>
      <c r="K135" s="57">
        <f>CONCATENATE(D135,L135)</f>
        <v/>
      </c>
      <c r="L135" s="57">
        <f>IF(OR(ISBLANK(F135),ISBLANK(H135)),IF(OR(D135="ALI",D135="AIE"),"L",IF(ISBLANK(D135),"","A")),IF(D135="EE",IF(H135&gt;=3,IF(F135&gt;=5,"H","A"),IF(H135&gt;=2,IF(F135&gt;=16,"H",IF(F135&lt;=4,"L","A")),IF(F135&lt;=15,"L","A"))),IF(OR(D135="SE",D135="CE"),IF(H135&gt;=4,IF(F135&gt;=6,"H","A"),IF(H135&gt;=2,IF(F135&gt;=20,"H",IF(F135&lt;=5,"L","A")),IF(F135&lt;=19,"L","A"))),IF(OR(D135="ALI",D135="AIE"),IF(H135&gt;=6,IF(F135&gt;=20,"H","A"),IF(H135&gt;=2,IF(F135&gt;=51,"H",IF(F135&lt;=19,"L","A")),IF(F135&lt;=50,"L","A")))))))</f>
        <v/>
      </c>
      <c r="M135" s="20">
        <f>IF(L135="L","Baixa",IF(L135="A","Média",IF(L135="","","Alta")))</f>
        <v/>
      </c>
      <c r="N135" s="21">
        <f>IF(ISBLANK(D135),"",IF(D135="ALI",IF(L135="L",7,IF(L135="A",10,15)),IF(D135="AIE",IF(L135="L",5,IF(L135="A",7,10)),IF(D135="SE",IF(L135="L",4,IF(L135="A",5,7)),IF(OR(D135="EE",D135="CE"),IF(L135="L",3,IF(L135="A",4,6)))))))</f>
        <v/>
      </c>
      <c r="O135" s="59">
        <f>IF(E135&lt;&gt;"",VLOOKUP(E135,$P180:$Q211,2,FALSE),"-")</f>
        <v/>
      </c>
      <c r="P135" s="50">
        <f>IF(OR(E135="Manutenção Interface",E135="Paginas Estáticas"),J135*O135,
IF(OR(D135="",E135=""),"",
N135*O135))</f>
        <v/>
      </c>
      <c r="Q135" s="21" t="n"/>
      <c r="S135" s="69">
        <f>IF(OR(M135="Baixa",E135="Manutenção Interface",E135="Paginas Estáticas"),1,0)</f>
        <v/>
      </c>
      <c r="T135" s="69">
        <f>IF(OR(M135="Média",M135="Alta"),1,0)</f>
        <v/>
      </c>
    </row>
    <row r="136" ht="14.25" customHeight="1" s="30">
      <c r="B136" s="105" t="n"/>
      <c r="C136" s="102" t="n"/>
      <c r="D136" s="19" t="n"/>
      <c r="E136" s="57" t="n"/>
      <c r="F136" s="57" t="n"/>
      <c r="G136" s="57" t="n"/>
      <c r="H136" s="57" t="n"/>
      <c r="I136" s="57" t="n"/>
      <c r="J136" s="57" t="n"/>
      <c r="K136" s="57">
        <f>CONCATENATE(D136,L136)</f>
        <v/>
      </c>
      <c r="L136" s="57">
        <f>IF(OR(ISBLANK(F136),ISBLANK(H136)),IF(OR(D136="ALI",D136="AIE"),"L",IF(ISBLANK(D136),"","A")),IF(D136="EE",IF(H136&gt;=3,IF(F136&gt;=5,"H","A"),IF(H136&gt;=2,IF(F136&gt;=16,"H",IF(F136&lt;=4,"L","A")),IF(F136&lt;=15,"L","A"))),IF(OR(D136="SE",D136="CE"),IF(H136&gt;=4,IF(F136&gt;=6,"H","A"),IF(H136&gt;=2,IF(F136&gt;=20,"H",IF(F136&lt;=5,"L","A")),IF(F136&lt;=19,"L","A"))),IF(OR(D136="ALI",D136="AIE"),IF(H136&gt;=6,IF(F136&gt;=20,"H","A"),IF(H136&gt;=2,IF(F136&gt;=51,"H",IF(F136&lt;=19,"L","A")),IF(F136&lt;=50,"L","A")))))))</f>
        <v/>
      </c>
      <c r="M136" s="20">
        <f>IF(L136="L","Baixa",IF(L136="A","Média",IF(L136="","","Alta")))</f>
        <v/>
      </c>
      <c r="N136" s="21">
        <f>IF(ISBLANK(D136),"",IF(D136="ALI",IF(L136="L",7,IF(L136="A",10,15)),IF(D136="AIE",IF(L136="L",5,IF(L136="A",7,10)),IF(D136="SE",IF(L136="L",4,IF(L136="A",5,7)),IF(OR(D136="EE",D136="CE"),IF(L136="L",3,IF(L136="A",4,6)))))))</f>
        <v/>
      </c>
      <c r="O136" s="59">
        <f>IF(E136&lt;&gt;"",VLOOKUP(E136,$P180:$Q211,2,FALSE),"-")</f>
        <v/>
      </c>
      <c r="P136" s="50">
        <f>IF(OR(E136="Manutenção Interface",E136="Paginas Estáticas"),J136*O136,
IF(OR(D136="",E136=""),"",
N136*O136))</f>
        <v/>
      </c>
      <c r="Q136" s="21" t="n"/>
      <c r="S136" s="69">
        <f>IF(OR(M136="Baixa",E136="Manutenção Interface",E136="Paginas Estáticas"),1,0)</f>
        <v/>
      </c>
      <c r="T136" s="69">
        <f>IF(OR(M136="Média",M136="Alta"),1,0)</f>
        <v/>
      </c>
    </row>
    <row r="137" ht="14.25" customHeight="1" s="30">
      <c r="B137" s="105" t="n"/>
      <c r="C137" s="102" t="n"/>
      <c r="D137" s="19" t="n"/>
      <c r="E137" s="57" t="n"/>
      <c r="F137" s="57" t="n"/>
      <c r="G137" s="57" t="n"/>
      <c r="H137" s="57" t="n"/>
      <c r="I137" s="57" t="n"/>
      <c r="J137" s="57" t="n"/>
      <c r="K137" s="57">
        <f>CONCATENATE(D137,L137)</f>
        <v/>
      </c>
      <c r="L137" s="57">
        <f>IF(OR(ISBLANK(F137),ISBLANK(H137)),IF(OR(D137="ALI",D137="AIE"),"L",IF(ISBLANK(D137),"","A")),IF(D137="EE",IF(H137&gt;=3,IF(F137&gt;=5,"H","A"),IF(H137&gt;=2,IF(F137&gt;=16,"H",IF(F137&lt;=4,"L","A")),IF(F137&lt;=15,"L","A"))),IF(OR(D137="SE",D137="CE"),IF(H137&gt;=4,IF(F137&gt;=6,"H","A"),IF(H137&gt;=2,IF(F137&gt;=20,"H",IF(F137&lt;=5,"L","A")),IF(F137&lt;=19,"L","A"))),IF(OR(D137="ALI",D137="AIE"),IF(H137&gt;=6,IF(F137&gt;=20,"H","A"),IF(H137&gt;=2,IF(F137&gt;=51,"H",IF(F137&lt;=19,"L","A")),IF(F137&lt;=50,"L","A")))))))</f>
        <v/>
      </c>
      <c r="M137" s="20">
        <f>IF(L137="L","Baixa",IF(L137="A","Média",IF(L137="","","Alta")))</f>
        <v/>
      </c>
      <c r="N137" s="21">
        <f>IF(ISBLANK(D137),"",IF(D137="ALI",IF(L137="L",7,IF(L137="A",10,15)),IF(D137="AIE",IF(L137="L",5,IF(L137="A",7,10)),IF(D137="SE",IF(L137="L",4,IF(L137="A",5,7)),IF(OR(D137="EE",D137="CE"),IF(L137="L",3,IF(L137="A",4,6)))))))</f>
        <v/>
      </c>
      <c r="O137" s="59">
        <f>IF(E137&lt;&gt;"",VLOOKUP(E137,$P180:$Q211,2,FALSE),"-")</f>
        <v/>
      </c>
      <c r="P137" s="50">
        <f>IF(OR(E137="Manutenção Interface",E137="Paginas Estáticas"),J137*O137,
IF(OR(D137="",E137=""),"",
N137*O137))</f>
        <v/>
      </c>
      <c r="Q137" s="21" t="n"/>
      <c r="S137" s="69">
        <f>IF(OR(M137="Baixa",E137="Manutenção Interface",E137="Paginas Estáticas"),1,0)</f>
        <v/>
      </c>
      <c r="T137" s="69">
        <f>IF(OR(M137="Média",M137="Alta"),1,0)</f>
        <v/>
      </c>
    </row>
    <row r="138" ht="14.25" customHeight="1" s="30">
      <c r="B138" s="105" t="n"/>
      <c r="C138" s="102" t="n"/>
      <c r="D138" s="19" t="n"/>
      <c r="E138" s="57" t="n"/>
      <c r="F138" s="57" t="n"/>
      <c r="G138" s="57" t="n"/>
      <c r="H138" s="57" t="n"/>
      <c r="I138" s="57" t="n"/>
      <c r="J138" s="57" t="n"/>
      <c r="K138" s="57">
        <f>CONCATENATE(D138,L138)</f>
        <v/>
      </c>
      <c r="L138" s="57">
        <f>IF(OR(ISBLANK(F138),ISBLANK(H138)),IF(OR(D138="ALI",D138="AIE"),"L",IF(ISBLANK(D138),"","A")),IF(D138="EE",IF(H138&gt;=3,IF(F138&gt;=5,"H","A"),IF(H138&gt;=2,IF(F138&gt;=16,"H",IF(F138&lt;=4,"L","A")),IF(F138&lt;=15,"L","A"))),IF(OR(D138="SE",D138="CE"),IF(H138&gt;=4,IF(F138&gt;=6,"H","A"),IF(H138&gt;=2,IF(F138&gt;=20,"H",IF(F138&lt;=5,"L","A")),IF(F138&lt;=19,"L","A"))),IF(OR(D138="ALI",D138="AIE"),IF(H138&gt;=6,IF(F138&gt;=20,"H","A"),IF(H138&gt;=2,IF(F138&gt;=51,"H",IF(F138&lt;=19,"L","A")),IF(F138&lt;=50,"L","A")))))))</f>
        <v/>
      </c>
      <c r="M138" s="20">
        <f>IF(L138="L","Baixa",IF(L138="A","Média",IF(L138="","","Alta")))</f>
        <v/>
      </c>
      <c r="N138" s="21">
        <f>IF(ISBLANK(D138),"",IF(D138="ALI",IF(L138="L",7,IF(L138="A",10,15)),IF(D138="AIE",IF(L138="L",5,IF(L138="A",7,10)),IF(D138="SE",IF(L138="L",4,IF(L138="A",5,7)),IF(OR(D138="EE",D138="CE"),IF(L138="L",3,IF(L138="A",4,6)))))))</f>
        <v/>
      </c>
      <c r="O138" s="59">
        <f>IF(E138&lt;&gt;"",VLOOKUP(E138,$P180:$Q211,2,FALSE),"-")</f>
        <v/>
      </c>
      <c r="P138" s="50">
        <f>IF(OR(E138="Manutenção Interface",E138="Paginas Estáticas"),J138*O138,
IF(OR(D138="",E138=""),"",
N138*O138))</f>
        <v/>
      </c>
      <c r="Q138" s="21" t="n"/>
      <c r="S138" s="69">
        <f>IF(OR(M138="Baixa",E138="Manutenção Interface",E138="Paginas Estáticas"),1,0)</f>
        <v/>
      </c>
      <c r="T138" s="69">
        <f>IF(OR(M138="Média",M138="Alta"),1,0)</f>
        <v/>
      </c>
    </row>
    <row r="139" ht="14.25" customHeight="1" s="30">
      <c r="B139" s="105" t="n"/>
      <c r="C139" s="102" t="n"/>
      <c r="D139" s="19" t="n"/>
      <c r="E139" s="57" t="n"/>
      <c r="F139" s="57" t="n"/>
      <c r="G139" s="57" t="n"/>
      <c r="H139" s="57" t="n"/>
      <c r="I139" s="57" t="n"/>
      <c r="J139" s="57" t="n"/>
      <c r="K139" s="57">
        <f>CONCATENATE(D139,L139)</f>
        <v/>
      </c>
      <c r="L139" s="57">
        <f>IF(OR(ISBLANK(F139),ISBLANK(H139)),IF(OR(D139="ALI",D139="AIE"),"L",IF(ISBLANK(D139),"","A")),IF(D139="EE",IF(H139&gt;=3,IF(F139&gt;=5,"H","A"),IF(H139&gt;=2,IF(F139&gt;=16,"H",IF(F139&lt;=4,"L","A")),IF(F139&lt;=15,"L","A"))),IF(OR(D139="SE",D139="CE"),IF(H139&gt;=4,IF(F139&gt;=6,"H","A"),IF(H139&gt;=2,IF(F139&gt;=20,"H",IF(F139&lt;=5,"L","A")),IF(F139&lt;=19,"L","A"))),IF(OR(D139="ALI",D139="AIE"),IF(H139&gt;=6,IF(F139&gt;=20,"H","A"),IF(H139&gt;=2,IF(F139&gt;=51,"H",IF(F139&lt;=19,"L","A")),IF(F139&lt;=50,"L","A")))))))</f>
        <v/>
      </c>
      <c r="M139" s="20">
        <f>IF(L139="L","Baixa",IF(L139="A","Média",IF(L139="","","Alta")))</f>
        <v/>
      </c>
      <c r="N139" s="21">
        <f>IF(ISBLANK(D139),"",IF(D139="ALI",IF(L139="L",7,IF(L139="A",10,15)),IF(D139="AIE",IF(L139="L",5,IF(L139="A",7,10)),IF(D139="SE",IF(L139="L",4,IF(L139="A",5,7)),IF(OR(D139="EE",D139="CE"),IF(L139="L",3,IF(L139="A",4,6)))))))</f>
        <v/>
      </c>
      <c r="O139" s="59">
        <f>IF(E139&lt;&gt;"",VLOOKUP(E139,$P180:$Q211,2,FALSE),"-")</f>
        <v/>
      </c>
      <c r="P139" s="50">
        <f>IF(OR(E139="Manutenção Interface",E139="Paginas Estáticas"),J139*O139,
IF(OR(D139="",E139=""),"",
N139*O139))</f>
        <v/>
      </c>
      <c r="Q139" s="21" t="n"/>
      <c r="S139" s="69">
        <f>IF(OR(M139="Baixa",E139="Manutenção Interface",E139="Paginas Estáticas"),1,0)</f>
        <v/>
      </c>
      <c r="T139" s="69">
        <f>IF(OR(M139="Média",M139="Alta"),1,0)</f>
        <v/>
      </c>
    </row>
    <row r="140" ht="14.25" customHeight="1" s="30">
      <c r="B140" s="105" t="n"/>
      <c r="C140" s="102" t="n"/>
      <c r="D140" s="19" t="n"/>
      <c r="E140" s="57" t="n"/>
      <c r="F140" s="57" t="n"/>
      <c r="G140" s="57" t="n"/>
      <c r="H140" s="57" t="n"/>
      <c r="I140" s="57" t="n"/>
      <c r="J140" s="57" t="n"/>
      <c r="K140" s="57">
        <f>CONCATENATE(D140,L140)</f>
        <v/>
      </c>
      <c r="L140" s="57">
        <f>IF(OR(ISBLANK(F140),ISBLANK(H140)),IF(OR(D140="ALI",D140="AIE"),"L",IF(ISBLANK(D140),"","A")),IF(D140="EE",IF(H140&gt;=3,IF(F140&gt;=5,"H","A"),IF(H140&gt;=2,IF(F140&gt;=16,"H",IF(F140&lt;=4,"L","A")),IF(F140&lt;=15,"L","A"))),IF(OR(D140="SE",D140="CE"),IF(H140&gt;=4,IF(F140&gt;=6,"H","A"),IF(H140&gt;=2,IF(F140&gt;=20,"H",IF(F140&lt;=5,"L","A")),IF(F140&lt;=19,"L","A"))),IF(OR(D140="ALI",D140="AIE"),IF(H140&gt;=6,IF(F140&gt;=20,"H","A"),IF(H140&gt;=2,IF(F140&gt;=51,"H",IF(F140&lt;=19,"L","A")),IF(F140&lt;=50,"L","A")))))))</f>
        <v/>
      </c>
      <c r="M140" s="20">
        <f>IF(L140="L","Baixa",IF(L140="A","Média",IF(L140="","","Alta")))</f>
        <v/>
      </c>
      <c r="N140" s="21">
        <f>IF(ISBLANK(D140),"",IF(D140="ALI",IF(L140="L",7,IF(L140="A",10,15)),IF(D140="AIE",IF(L140="L",5,IF(L140="A",7,10)),IF(D140="SE",IF(L140="L",4,IF(L140="A",5,7)),IF(OR(D140="EE",D140="CE"),IF(L140="L",3,IF(L140="A",4,6)))))))</f>
        <v/>
      </c>
      <c r="O140" s="59">
        <f>IF(E140&lt;&gt;"",VLOOKUP(E140,$P180:$Q211,2,FALSE),"-")</f>
        <v/>
      </c>
      <c r="P140" s="50">
        <f>IF(OR(E140="Manutenção Interface",E140="Paginas Estáticas"),J140*O140,
IF(OR(D140="",E140=""),"",
N140*O140))</f>
        <v/>
      </c>
      <c r="Q140" s="21" t="n"/>
      <c r="S140" s="69">
        <f>IF(OR(M140="Baixa",E140="Manutenção Interface",E140="Paginas Estáticas"),1,0)</f>
        <v/>
      </c>
      <c r="T140" s="69">
        <f>IF(OR(M140="Média",M140="Alta"),1,0)</f>
        <v/>
      </c>
    </row>
    <row r="141" ht="14.25" customHeight="1" s="30">
      <c r="B141" s="105" t="n"/>
      <c r="C141" s="102" t="n"/>
      <c r="D141" s="19" t="n"/>
      <c r="E141" s="57" t="n"/>
      <c r="F141" s="57" t="n"/>
      <c r="G141" s="57" t="n"/>
      <c r="H141" s="57" t="n"/>
      <c r="I141" s="57" t="n"/>
      <c r="J141" s="57" t="n"/>
      <c r="K141" s="57">
        <f>CONCATENATE(D141,L141)</f>
        <v/>
      </c>
      <c r="L141" s="57">
        <f>IF(OR(ISBLANK(F141),ISBLANK(H141)),IF(OR(D141="ALI",D141="AIE"),"L",IF(ISBLANK(D141),"","A")),IF(D141="EE",IF(H141&gt;=3,IF(F141&gt;=5,"H","A"),IF(H141&gt;=2,IF(F141&gt;=16,"H",IF(F141&lt;=4,"L","A")),IF(F141&lt;=15,"L","A"))),IF(OR(D141="SE",D141="CE"),IF(H141&gt;=4,IF(F141&gt;=6,"H","A"),IF(H141&gt;=2,IF(F141&gt;=20,"H",IF(F141&lt;=5,"L","A")),IF(F141&lt;=19,"L","A"))),IF(OR(D141="ALI",D141="AIE"),IF(H141&gt;=6,IF(F141&gt;=20,"H","A"),IF(H141&gt;=2,IF(F141&gt;=51,"H",IF(F141&lt;=19,"L","A")),IF(F141&lt;=50,"L","A")))))))</f>
        <v/>
      </c>
      <c r="M141" s="20">
        <f>IF(L141="L","Baixa",IF(L141="A","Média",IF(L141="","","Alta")))</f>
        <v/>
      </c>
      <c r="N141" s="21">
        <f>IF(ISBLANK(D141),"",IF(D141="ALI",IF(L141="L",7,IF(L141="A",10,15)),IF(D141="AIE",IF(L141="L",5,IF(L141="A",7,10)),IF(D141="SE",IF(L141="L",4,IF(L141="A",5,7)),IF(OR(D141="EE",D141="CE"),IF(L141="L",3,IF(L141="A",4,6)))))))</f>
        <v/>
      </c>
      <c r="O141" s="59">
        <f>IF(E141&lt;&gt;"",VLOOKUP(E141,$P180:$Q211,2,FALSE),"-")</f>
        <v/>
      </c>
      <c r="P141" s="50">
        <f>IF(OR(E141="Manutenção Interface",E141="Paginas Estáticas"),J141*O141,
IF(OR(D141="",E141=""),"",
N141*O141))</f>
        <v/>
      </c>
      <c r="Q141" s="21" t="n"/>
      <c r="S141" s="69">
        <f>IF(OR(M141="Baixa",E141="Manutenção Interface",E141="Paginas Estáticas"),1,0)</f>
        <v/>
      </c>
      <c r="T141" s="69">
        <f>IF(OR(M141="Média",M141="Alta"),1,0)</f>
        <v/>
      </c>
    </row>
    <row r="142" ht="14.25" customHeight="1" s="30">
      <c r="B142" s="105" t="n"/>
      <c r="C142" s="102" t="n"/>
      <c r="D142" s="19" t="n"/>
      <c r="E142" s="57" t="n"/>
      <c r="F142" s="57" t="n"/>
      <c r="G142" s="57" t="n"/>
      <c r="H142" s="57" t="n"/>
      <c r="I142" s="57" t="n"/>
      <c r="J142" s="57" t="n"/>
      <c r="K142" s="57">
        <f>CONCATENATE(D142,L142)</f>
        <v/>
      </c>
      <c r="L142" s="57">
        <f>IF(OR(ISBLANK(F142),ISBLANK(H142)),IF(OR(D142="ALI",D142="AIE"),"L",IF(ISBLANK(D142),"","A")),IF(D142="EE",IF(H142&gt;=3,IF(F142&gt;=5,"H","A"),IF(H142&gt;=2,IF(F142&gt;=16,"H",IF(F142&lt;=4,"L","A")),IF(F142&lt;=15,"L","A"))),IF(OR(D142="SE",D142="CE"),IF(H142&gt;=4,IF(F142&gt;=6,"H","A"),IF(H142&gt;=2,IF(F142&gt;=20,"H",IF(F142&lt;=5,"L","A")),IF(F142&lt;=19,"L","A"))),IF(OR(D142="ALI",D142="AIE"),IF(H142&gt;=6,IF(F142&gt;=20,"H","A"),IF(H142&gt;=2,IF(F142&gt;=51,"H",IF(F142&lt;=19,"L","A")),IF(F142&lt;=50,"L","A")))))))</f>
        <v/>
      </c>
      <c r="M142" s="20">
        <f>IF(L142="L","Baixa",IF(L142="A","Média",IF(L142="","","Alta")))</f>
        <v/>
      </c>
      <c r="N142" s="21">
        <f>IF(ISBLANK(D142),"",IF(D142="ALI",IF(L142="L",7,IF(L142="A",10,15)),IF(D142="AIE",IF(L142="L",5,IF(L142="A",7,10)),IF(D142="SE",IF(L142="L",4,IF(L142="A",5,7)),IF(OR(D142="EE",D142="CE"),IF(L142="L",3,IF(L142="A",4,6)))))))</f>
        <v/>
      </c>
      <c r="O142" s="59">
        <f>IF(E142&lt;&gt;"",VLOOKUP(E142,$P180:$Q211,2,FALSE),"-")</f>
        <v/>
      </c>
      <c r="P142" s="50">
        <f>IF(OR(E142="Manutenção Interface",E142="Paginas Estáticas"),J142*O142,
IF(OR(D142="",E142=""),"",
N142*O142))</f>
        <v/>
      </c>
      <c r="Q142" s="21" t="n"/>
      <c r="S142" s="69">
        <f>IF(OR(M142="Baixa",E142="Manutenção Interface",E142="Paginas Estáticas"),1,0)</f>
        <v/>
      </c>
      <c r="T142" s="69">
        <f>IF(OR(M142="Média",M142="Alta"),1,0)</f>
        <v/>
      </c>
    </row>
    <row r="143" ht="14.25" customHeight="1" s="30">
      <c r="B143" s="105" t="n"/>
      <c r="C143" s="102" t="n"/>
      <c r="D143" s="19" t="n"/>
      <c r="E143" s="57" t="n"/>
      <c r="F143" s="57" t="n"/>
      <c r="G143" s="57" t="n"/>
      <c r="H143" s="57" t="n"/>
      <c r="I143" s="57" t="n"/>
      <c r="J143" s="57" t="n"/>
      <c r="K143" s="57">
        <f>CONCATENATE(D143,L143)</f>
        <v/>
      </c>
      <c r="L143" s="57">
        <f>IF(OR(ISBLANK(F143),ISBLANK(H143)),IF(OR(D143="ALI",D143="AIE"),"L",IF(ISBLANK(D143),"","A")),IF(D143="EE",IF(H143&gt;=3,IF(F143&gt;=5,"H","A"),IF(H143&gt;=2,IF(F143&gt;=16,"H",IF(F143&lt;=4,"L","A")),IF(F143&lt;=15,"L","A"))),IF(OR(D143="SE",D143="CE"),IF(H143&gt;=4,IF(F143&gt;=6,"H","A"),IF(H143&gt;=2,IF(F143&gt;=20,"H",IF(F143&lt;=5,"L","A")),IF(F143&lt;=19,"L","A"))),IF(OR(D143="ALI",D143="AIE"),IF(H143&gt;=6,IF(F143&gt;=20,"H","A"),IF(H143&gt;=2,IF(F143&gt;=51,"H",IF(F143&lt;=19,"L","A")),IF(F143&lt;=50,"L","A")))))))</f>
        <v/>
      </c>
      <c r="M143" s="20">
        <f>IF(L143="L","Baixa",IF(L143="A","Média",IF(L143="","","Alta")))</f>
        <v/>
      </c>
      <c r="N143" s="21">
        <f>IF(ISBLANK(D143),"",IF(D143="ALI",IF(L143="L",7,IF(L143="A",10,15)),IF(D143="AIE",IF(L143="L",5,IF(L143="A",7,10)),IF(D143="SE",IF(L143="L",4,IF(L143="A",5,7)),IF(OR(D143="EE",D143="CE"),IF(L143="L",3,IF(L143="A",4,6)))))))</f>
        <v/>
      </c>
      <c r="O143" s="59">
        <f>IF(E143&lt;&gt;"",VLOOKUP(E143,$P180:$Q211,2,FALSE),"-")</f>
        <v/>
      </c>
      <c r="P143" s="50">
        <f>IF(OR(E143="Manutenção Interface",E143="Paginas Estáticas"),J143*O143,
IF(OR(D143="",E143=""),"",
N143*O143))</f>
        <v/>
      </c>
      <c r="Q143" s="21" t="n"/>
      <c r="S143" s="69">
        <f>IF(OR(M143="Baixa",E143="Manutenção Interface",E143="Paginas Estáticas"),1,0)</f>
        <v/>
      </c>
      <c r="T143" s="69">
        <f>IF(OR(M143="Média",M143="Alta"),1,0)</f>
        <v/>
      </c>
    </row>
    <row r="144" ht="14.25" customHeight="1" s="30">
      <c r="B144" s="105" t="n"/>
      <c r="C144" s="102" t="n"/>
      <c r="D144" s="19" t="n"/>
      <c r="E144" s="57" t="n"/>
      <c r="F144" s="57" t="n"/>
      <c r="G144" s="57" t="n"/>
      <c r="H144" s="57" t="n"/>
      <c r="I144" s="57" t="n"/>
      <c r="J144" s="57" t="n"/>
      <c r="K144" s="57">
        <f>CONCATENATE(D144,L144)</f>
        <v/>
      </c>
      <c r="L144" s="57">
        <f>IF(OR(ISBLANK(F144),ISBLANK(H144)),IF(OR(D144="ALI",D144="AIE"),"L",IF(ISBLANK(D144),"","A")),IF(D144="EE",IF(H144&gt;=3,IF(F144&gt;=5,"H","A"),IF(H144&gt;=2,IF(F144&gt;=16,"H",IF(F144&lt;=4,"L","A")),IF(F144&lt;=15,"L","A"))),IF(OR(D144="SE",D144="CE"),IF(H144&gt;=4,IF(F144&gt;=6,"H","A"),IF(H144&gt;=2,IF(F144&gt;=20,"H",IF(F144&lt;=5,"L","A")),IF(F144&lt;=19,"L","A"))),IF(OR(D144="ALI",D144="AIE"),IF(H144&gt;=6,IF(F144&gt;=20,"H","A"),IF(H144&gt;=2,IF(F144&gt;=51,"H",IF(F144&lt;=19,"L","A")),IF(F144&lt;=50,"L","A")))))))</f>
        <v/>
      </c>
      <c r="M144" s="20">
        <f>IF(L144="L","Baixa",IF(L144="A","Média",IF(L144="","","Alta")))</f>
        <v/>
      </c>
      <c r="N144" s="21">
        <f>IF(ISBLANK(D144),"",IF(D144="ALI",IF(L144="L",7,IF(L144="A",10,15)),IF(D144="AIE",IF(L144="L",5,IF(L144="A",7,10)),IF(D144="SE",IF(L144="L",4,IF(L144="A",5,7)),IF(OR(D144="EE",D144="CE"),IF(L144="L",3,IF(L144="A",4,6)))))))</f>
        <v/>
      </c>
      <c r="O144" s="59">
        <f>IF(E144&lt;&gt;"",VLOOKUP(E144,$P180:$Q211,2,FALSE),"-")</f>
        <v/>
      </c>
      <c r="P144" s="50">
        <f>IF(OR(E144="Manutenção Interface",E144="Paginas Estáticas"),J144*O144,
IF(OR(D144="",E144=""),"",
N144*O144))</f>
        <v/>
      </c>
      <c r="Q144" s="21" t="n"/>
      <c r="S144" s="69">
        <f>IF(OR(M144="Baixa",E144="Manutenção Interface",E144="Paginas Estáticas"),1,0)</f>
        <v/>
      </c>
      <c r="T144" s="69">
        <f>IF(OR(M144="Média",M144="Alta"),1,0)</f>
        <v/>
      </c>
    </row>
    <row r="145" ht="14.25" customHeight="1" s="30">
      <c r="B145" s="105" t="n"/>
      <c r="C145" s="102" t="n"/>
      <c r="D145" s="19" t="n"/>
      <c r="E145" s="57" t="n"/>
      <c r="F145" s="57" t="n"/>
      <c r="G145" s="57" t="n"/>
      <c r="H145" s="57" t="n"/>
      <c r="I145" s="57" t="n"/>
      <c r="J145" s="57" t="n"/>
      <c r="K145" s="57">
        <f>CONCATENATE(D145,L145)</f>
        <v/>
      </c>
      <c r="L145" s="57">
        <f>IF(OR(ISBLANK(F145),ISBLANK(H145)),IF(OR(D145="ALI",D145="AIE"),"L",IF(ISBLANK(D145),"","A")),IF(D145="EE",IF(H145&gt;=3,IF(F145&gt;=5,"H","A"),IF(H145&gt;=2,IF(F145&gt;=16,"H",IF(F145&lt;=4,"L","A")),IF(F145&lt;=15,"L","A"))),IF(OR(D145="SE",D145="CE"),IF(H145&gt;=4,IF(F145&gt;=6,"H","A"),IF(H145&gt;=2,IF(F145&gt;=20,"H",IF(F145&lt;=5,"L","A")),IF(F145&lt;=19,"L","A"))),IF(OR(D145="ALI",D145="AIE"),IF(H145&gt;=6,IF(F145&gt;=20,"H","A"),IF(H145&gt;=2,IF(F145&gt;=51,"H",IF(F145&lt;=19,"L","A")),IF(F145&lt;=50,"L","A")))))))</f>
        <v/>
      </c>
      <c r="M145" s="20">
        <f>IF(L145="L","Baixa",IF(L145="A","Média",IF(L145="","","Alta")))</f>
        <v/>
      </c>
      <c r="N145" s="21">
        <f>IF(ISBLANK(D145),"",IF(D145="ALI",IF(L145="L",7,IF(L145="A",10,15)),IF(D145="AIE",IF(L145="L",5,IF(L145="A",7,10)),IF(D145="SE",IF(L145="L",4,IF(L145="A",5,7)),IF(OR(D145="EE",D145="CE"),IF(L145="L",3,IF(L145="A",4,6)))))))</f>
        <v/>
      </c>
      <c r="O145" s="59">
        <f>IF(E145&lt;&gt;"",VLOOKUP(E145,$P180:$Q211,2,FALSE),"-")</f>
        <v/>
      </c>
      <c r="P145" s="50">
        <f>IF(OR(E145="Manutenção Interface",E145="Paginas Estáticas"),J145*O145,
IF(OR(D145="",E145=""),"",
N145*O145))</f>
        <v/>
      </c>
      <c r="Q145" s="21" t="n"/>
      <c r="S145" s="69">
        <f>IF(OR(M145="Baixa",E145="Manutenção Interface",E145="Paginas Estáticas"),1,0)</f>
        <v/>
      </c>
      <c r="T145" s="69">
        <f>IF(OR(M145="Média",M145="Alta"),1,0)</f>
        <v/>
      </c>
    </row>
    <row r="146" ht="14.25" customHeight="1" s="30">
      <c r="B146" s="105" t="n"/>
      <c r="C146" s="102" t="n"/>
      <c r="D146" s="19" t="n"/>
      <c r="E146" s="57" t="n"/>
      <c r="F146" s="57" t="n"/>
      <c r="G146" s="57" t="n"/>
      <c r="H146" s="57" t="n"/>
      <c r="I146" s="57" t="n"/>
      <c r="J146" s="57" t="n"/>
      <c r="K146" s="57">
        <f>CONCATENATE(D146,L146)</f>
        <v/>
      </c>
      <c r="L146" s="57">
        <f>IF(OR(ISBLANK(F146),ISBLANK(H146)),IF(OR(D146="ALI",D146="AIE"),"L",IF(ISBLANK(D146),"","A")),IF(D146="EE",IF(H146&gt;=3,IF(F146&gt;=5,"H","A"),IF(H146&gt;=2,IF(F146&gt;=16,"H",IF(F146&lt;=4,"L","A")),IF(F146&lt;=15,"L","A"))),IF(OR(D146="SE",D146="CE"),IF(H146&gt;=4,IF(F146&gt;=6,"H","A"),IF(H146&gt;=2,IF(F146&gt;=20,"H",IF(F146&lt;=5,"L","A")),IF(F146&lt;=19,"L","A"))),IF(OR(D146="ALI",D146="AIE"),IF(H146&gt;=6,IF(F146&gt;=20,"H","A"),IF(H146&gt;=2,IF(F146&gt;=51,"H",IF(F146&lt;=19,"L","A")),IF(F146&lt;=50,"L","A")))))))</f>
        <v/>
      </c>
      <c r="M146" s="20">
        <f>IF(L146="L","Baixa",IF(L146="A","Média",IF(L146="","","Alta")))</f>
        <v/>
      </c>
      <c r="N146" s="21">
        <f>IF(ISBLANK(D146),"",IF(D146="ALI",IF(L146="L",7,IF(L146="A",10,15)),IF(D146="AIE",IF(L146="L",5,IF(L146="A",7,10)),IF(D146="SE",IF(L146="L",4,IF(L146="A",5,7)),IF(OR(D146="EE",D146="CE"),IF(L146="L",3,IF(L146="A",4,6)))))))</f>
        <v/>
      </c>
      <c r="O146" s="59">
        <f>IF(E146&lt;&gt;"",VLOOKUP(E146,$P180:$Q211,2,FALSE),"-")</f>
        <v/>
      </c>
      <c r="P146" s="50">
        <f>IF(OR(E146="Manutenção Interface",E146="Paginas Estáticas"),J146*O146,
IF(OR(D146="",E146=""),"",
N146*O146))</f>
        <v/>
      </c>
      <c r="Q146" s="21" t="n"/>
      <c r="S146" s="69">
        <f>IF(OR(M146="Baixa",E146="Manutenção Interface",E146="Paginas Estáticas"),1,0)</f>
        <v/>
      </c>
      <c r="T146" s="69">
        <f>IF(OR(M146="Média",M146="Alta"),1,0)</f>
        <v/>
      </c>
    </row>
    <row r="147" ht="14.25" customHeight="1" s="30">
      <c r="B147" s="105" t="n"/>
      <c r="C147" s="102" t="n"/>
      <c r="D147" s="19" t="n"/>
      <c r="E147" s="57" t="n"/>
      <c r="F147" s="57" t="n"/>
      <c r="G147" s="57" t="n"/>
      <c r="H147" s="57" t="n"/>
      <c r="I147" s="57" t="n"/>
      <c r="J147" s="57" t="n"/>
      <c r="K147" s="57">
        <f>CONCATENATE(D147,L147)</f>
        <v/>
      </c>
      <c r="L147" s="57">
        <f>IF(OR(ISBLANK(F147),ISBLANK(H147)),IF(OR(D147="ALI",D147="AIE"),"L",IF(ISBLANK(D147),"","A")),IF(D147="EE",IF(H147&gt;=3,IF(F147&gt;=5,"H","A"),IF(H147&gt;=2,IF(F147&gt;=16,"H",IF(F147&lt;=4,"L","A")),IF(F147&lt;=15,"L","A"))),IF(OR(D147="SE",D147="CE"),IF(H147&gt;=4,IF(F147&gt;=6,"H","A"),IF(H147&gt;=2,IF(F147&gt;=20,"H",IF(F147&lt;=5,"L","A")),IF(F147&lt;=19,"L","A"))),IF(OR(D147="ALI",D147="AIE"),IF(H147&gt;=6,IF(F147&gt;=20,"H","A"),IF(H147&gt;=2,IF(F147&gt;=51,"H",IF(F147&lt;=19,"L","A")),IF(F147&lt;=50,"L","A")))))))</f>
        <v/>
      </c>
      <c r="M147" s="20">
        <f>IF(L147="L","Baixa",IF(L147="A","Média",IF(L147="","","Alta")))</f>
        <v/>
      </c>
      <c r="N147" s="21">
        <f>IF(ISBLANK(D147),"",IF(D147="ALI",IF(L147="L",7,IF(L147="A",10,15)),IF(D147="AIE",IF(L147="L",5,IF(L147="A",7,10)),IF(D147="SE",IF(L147="L",4,IF(L147="A",5,7)),IF(OR(D147="EE",D147="CE"),IF(L147="L",3,IF(L147="A",4,6)))))))</f>
        <v/>
      </c>
      <c r="O147" s="59">
        <f>IF(E147&lt;&gt;"",VLOOKUP(E147,$P180:$Q211,2,FALSE),"-")</f>
        <v/>
      </c>
      <c r="P147" s="50">
        <f>IF(OR(E147="Manutenção Interface",E147="Paginas Estáticas"),J147*O147,
IF(OR(D147="",E147=""),"",
N147*O147))</f>
        <v/>
      </c>
      <c r="Q147" s="21" t="n"/>
      <c r="S147" s="69">
        <f>IF(OR(M147="Baixa",E147="Manutenção Interface",E147="Paginas Estáticas"),1,0)</f>
        <v/>
      </c>
      <c r="T147" s="69">
        <f>IF(OR(M147="Média",M147="Alta"),1,0)</f>
        <v/>
      </c>
    </row>
    <row r="148" ht="14.25" customHeight="1" s="30">
      <c r="B148" s="105" t="n"/>
      <c r="C148" s="102" t="n"/>
      <c r="D148" s="19" t="n"/>
      <c r="E148" s="57" t="n"/>
      <c r="F148" s="57" t="n"/>
      <c r="G148" s="57" t="n"/>
      <c r="H148" s="57" t="n"/>
      <c r="I148" s="57" t="n"/>
      <c r="J148" s="57" t="n"/>
      <c r="K148" s="57">
        <f>CONCATENATE(D148,L148)</f>
        <v/>
      </c>
      <c r="L148" s="57">
        <f>IF(OR(ISBLANK(F148),ISBLANK(H148)),IF(OR(D148="ALI",D148="AIE"),"L",IF(ISBLANK(D148),"","A")),IF(D148="EE",IF(H148&gt;=3,IF(F148&gt;=5,"H","A"),IF(H148&gt;=2,IF(F148&gt;=16,"H",IF(F148&lt;=4,"L","A")),IF(F148&lt;=15,"L","A"))),IF(OR(D148="SE",D148="CE"),IF(H148&gt;=4,IF(F148&gt;=6,"H","A"),IF(H148&gt;=2,IF(F148&gt;=20,"H",IF(F148&lt;=5,"L","A")),IF(F148&lt;=19,"L","A"))),IF(OR(D148="ALI",D148="AIE"),IF(H148&gt;=6,IF(F148&gt;=20,"H","A"),IF(H148&gt;=2,IF(F148&gt;=51,"H",IF(F148&lt;=19,"L","A")),IF(F148&lt;=50,"L","A")))))))</f>
        <v/>
      </c>
      <c r="M148" s="20">
        <f>IF(L148="L","Baixa",IF(L148="A","Média",IF(L148="","","Alta")))</f>
        <v/>
      </c>
      <c r="N148" s="21">
        <f>IF(ISBLANK(D148),"",IF(D148="ALI",IF(L148="L",7,IF(L148="A",10,15)),IF(D148="AIE",IF(L148="L",5,IF(L148="A",7,10)),IF(D148="SE",IF(L148="L",4,IF(L148="A",5,7)),IF(OR(D148="EE",D148="CE"),IF(L148="L",3,IF(L148="A",4,6)))))))</f>
        <v/>
      </c>
      <c r="O148" s="59">
        <f>IF(E148&lt;&gt;"",VLOOKUP(E148,$P180:$Q211,2,FALSE),"-")</f>
        <v/>
      </c>
      <c r="P148" s="50">
        <f>IF(OR(E148="Manutenção Interface",E148="Paginas Estáticas"),J148*O148,
IF(OR(D148="",E148=""),"",
N148*O148))</f>
        <v/>
      </c>
      <c r="Q148" s="21" t="n"/>
      <c r="S148" s="69">
        <f>IF(OR(M148="Baixa",E148="Manutenção Interface",E148="Paginas Estáticas"),1,0)</f>
        <v/>
      </c>
      <c r="T148" s="69">
        <f>IF(OR(M148="Média",M148="Alta"),1,0)</f>
        <v/>
      </c>
    </row>
    <row r="149" ht="14.25" customHeight="1" s="30">
      <c r="B149" s="105" t="n"/>
      <c r="C149" s="102" t="n"/>
      <c r="D149" s="19" t="n"/>
      <c r="E149" s="57" t="n"/>
      <c r="F149" s="57" t="n"/>
      <c r="G149" s="57" t="n"/>
      <c r="H149" s="57" t="n"/>
      <c r="I149" s="57" t="n"/>
      <c r="J149" s="57" t="n"/>
      <c r="K149" s="57">
        <f>CONCATENATE(D149,L149)</f>
        <v/>
      </c>
      <c r="L149" s="57">
        <f>IF(OR(ISBLANK(F149),ISBLANK(H149)),IF(OR(D149="ALI",D149="AIE"),"L",IF(ISBLANK(D149),"","A")),IF(D149="EE",IF(H149&gt;=3,IF(F149&gt;=5,"H","A"),IF(H149&gt;=2,IF(F149&gt;=16,"H",IF(F149&lt;=4,"L","A")),IF(F149&lt;=15,"L","A"))),IF(OR(D149="SE",D149="CE"),IF(H149&gt;=4,IF(F149&gt;=6,"H","A"),IF(H149&gt;=2,IF(F149&gt;=20,"H",IF(F149&lt;=5,"L","A")),IF(F149&lt;=19,"L","A"))),IF(OR(D149="ALI",D149="AIE"),IF(H149&gt;=6,IF(F149&gt;=20,"H","A"),IF(H149&gt;=2,IF(F149&gt;=51,"H",IF(F149&lt;=19,"L","A")),IF(F149&lt;=50,"L","A")))))))</f>
        <v/>
      </c>
      <c r="M149" s="20">
        <f>IF(L149="L","Baixa",IF(L149="A","Média",IF(L149="","","Alta")))</f>
        <v/>
      </c>
      <c r="N149" s="21">
        <f>IF(ISBLANK(D149),"",IF(D149="ALI",IF(L149="L",7,IF(L149="A",10,15)),IF(D149="AIE",IF(L149="L",5,IF(L149="A",7,10)),IF(D149="SE",IF(L149="L",4,IF(L149="A",5,7)),IF(OR(D149="EE",D149="CE"),IF(L149="L",3,IF(L149="A",4,6)))))))</f>
        <v/>
      </c>
      <c r="O149" s="59">
        <f>IF(E149&lt;&gt;"",VLOOKUP(E149,$P180:$Q211,2,FALSE),"-")</f>
        <v/>
      </c>
      <c r="P149" s="50">
        <f>IF(OR(E149="Manutenção Interface",E149="Paginas Estáticas"),J149*O149,
IF(OR(D149="",E149=""),"",
N149*O149))</f>
        <v/>
      </c>
      <c r="Q149" s="21" t="n"/>
      <c r="S149" s="69">
        <f>IF(OR(M149="Baixa",E149="Manutenção Interface",E149="Paginas Estáticas"),1,0)</f>
        <v/>
      </c>
      <c r="T149" s="69">
        <f>IF(OR(M149="Média",M149="Alta"),1,0)</f>
        <v/>
      </c>
    </row>
    <row r="150" ht="14.25" customHeight="1" s="30">
      <c r="B150" s="105" t="n"/>
      <c r="C150" s="102" t="n"/>
      <c r="D150" s="19" t="n"/>
      <c r="E150" s="57" t="n"/>
      <c r="F150" s="57" t="n"/>
      <c r="G150" s="57" t="n"/>
      <c r="H150" s="57" t="n"/>
      <c r="I150" s="57" t="n"/>
      <c r="J150" s="57" t="n"/>
      <c r="K150" s="57">
        <f>CONCATENATE(D150,L150)</f>
        <v/>
      </c>
      <c r="L150" s="57">
        <f>IF(OR(ISBLANK(F150),ISBLANK(H150)),IF(OR(D150="ALI",D150="AIE"),"L",IF(ISBLANK(D150),"","A")),IF(D150="EE",IF(H150&gt;=3,IF(F150&gt;=5,"H","A"),IF(H150&gt;=2,IF(F150&gt;=16,"H",IF(F150&lt;=4,"L","A")),IF(F150&lt;=15,"L","A"))),IF(OR(D150="SE",D150="CE"),IF(H150&gt;=4,IF(F150&gt;=6,"H","A"),IF(H150&gt;=2,IF(F150&gt;=20,"H",IF(F150&lt;=5,"L","A")),IF(F150&lt;=19,"L","A"))),IF(OR(D150="ALI",D150="AIE"),IF(H150&gt;=6,IF(F150&gt;=20,"H","A"),IF(H150&gt;=2,IF(F150&gt;=51,"H",IF(F150&lt;=19,"L","A")),IF(F150&lt;=50,"L","A")))))))</f>
        <v/>
      </c>
      <c r="M150" s="20">
        <f>IF(L150="L","Baixa",IF(L150="A","Média",IF(L150="","","Alta")))</f>
        <v/>
      </c>
      <c r="N150" s="21">
        <f>IF(ISBLANK(D150),"",IF(D150="ALI",IF(L150="L",7,IF(L150="A",10,15)),IF(D150="AIE",IF(L150="L",5,IF(L150="A",7,10)),IF(D150="SE",IF(L150="L",4,IF(L150="A",5,7)),IF(OR(D150="EE",D150="CE"),IF(L150="L",3,IF(L150="A",4,6)))))))</f>
        <v/>
      </c>
      <c r="O150" s="59">
        <f>IF(E150&lt;&gt;"",VLOOKUP(E150,$P180:$Q211,2,FALSE),"-")</f>
        <v/>
      </c>
      <c r="P150" s="50">
        <f>IF(OR(E150="Manutenção Interface",E150="Paginas Estáticas"),J150*O150,
IF(OR(D150="",E150=""),"",
N150*O150))</f>
        <v/>
      </c>
      <c r="Q150" s="21" t="n"/>
      <c r="S150" s="69">
        <f>IF(OR(M150="Baixa",E150="Manutenção Interface",E150="Paginas Estáticas"),1,0)</f>
        <v/>
      </c>
      <c r="T150" s="69">
        <f>IF(OR(M150="Média",M150="Alta"),1,0)</f>
        <v/>
      </c>
    </row>
    <row r="151" ht="14.25" customHeight="1" s="30">
      <c r="B151" s="105" t="n"/>
      <c r="C151" s="102" t="n"/>
      <c r="D151" s="19" t="n"/>
      <c r="E151" s="57" t="n"/>
      <c r="F151" s="57" t="n"/>
      <c r="G151" s="57" t="n"/>
      <c r="H151" s="57" t="n"/>
      <c r="I151" s="57" t="n"/>
      <c r="J151" s="57" t="n"/>
      <c r="K151" s="57">
        <f>CONCATENATE(D151,L151)</f>
        <v/>
      </c>
      <c r="L151" s="57">
        <f>IF(OR(ISBLANK(F151),ISBLANK(H151)),IF(OR(D151="ALI",D151="AIE"),"L",IF(ISBLANK(D151),"","A")),IF(D151="EE",IF(H151&gt;=3,IF(F151&gt;=5,"H","A"),IF(H151&gt;=2,IF(F151&gt;=16,"H",IF(F151&lt;=4,"L","A")),IF(F151&lt;=15,"L","A"))),IF(OR(D151="SE",D151="CE"),IF(H151&gt;=4,IF(F151&gt;=6,"H","A"),IF(H151&gt;=2,IF(F151&gt;=20,"H",IF(F151&lt;=5,"L","A")),IF(F151&lt;=19,"L","A"))),IF(OR(D151="ALI",D151="AIE"),IF(H151&gt;=6,IF(F151&gt;=20,"H","A"),IF(H151&gt;=2,IF(F151&gt;=51,"H",IF(F151&lt;=19,"L","A")),IF(F151&lt;=50,"L","A")))))))</f>
        <v/>
      </c>
      <c r="M151" s="20">
        <f>IF(L151="L","Baixa",IF(L151="A","Média",IF(L151="","","Alta")))</f>
        <v/>
      </c>
      <c r="N151" s="21">
        <f>IF(ISBLANK(D151),"",IF(D151="ALI",IF(L151="L",7,IF(L151="A",10,15)),IF(D151="AIE",IF(L151="L",5,IF(L151="A",7,10)),IF(D151="SE",IF(L151="L",4,IF(L151="A",5,7)),IF(OR(D151="EE",D151="CE"),IF(L151="L",3,IF(L151="A",4,6)))))))</f>
        <v/>
      </c>
      <c r="O151" s="59">
        <f>IF(E151&lt;&gt;"",VLOOKUP(E151,$P180:$Q211,2,FALSE),"-")</f>
        <v/>
      </c>
      <c r="P151" s="50">
        <f>IF(OR(E151="Manutenção Interface",E151="Paginas Estáticas"),J151*O151,
IF(OR(D151="",E151=""),"",
N151*O151))</f>
        <v/>
      </c>
      <c r="Q151" s="21" t="n"/>
      <c r="S151" s="69">
        <f>IF(OR(M151="Baixa",E151="Manutenção Interface",E151="Paginas Estáticas"),1,0)</f>
        <v/>
      </c>
      <c r="T151" s="69">
        <f>IF(OR(M151="Média",M151="Alta"),1,0)</f>
        <v/>
      </c>
    </row>
    <row r="152" ht="14.25" customHeight="1" s="30">
      <c r="B152" s="105" t="n"/>
      <c r="C152" s="102" t="n"/>
      <c r="D152" s="19" t="n"/>
      <c r="E152" s="57" t="n"/>
      <c r="F152" s="57" t="n"/>
      <c r="G152" s="57" t="n"/>
      <c r="H152" s="57" t="n"/>
      <c r="I152" s="57" t="n"/>
      <c r="J152" s="57" t="n"/>
      <c r="K152" s="57">
        <f>CONCATENATE(D152,L152)</f>
        <v/>
      </c>
      <c r="L152" s="57">
        <f>IF(OR(ISBLANK(F152),ISBLANK(H152)),IF(OR(D152="ALI",D152="AIE"),"L",IF(ISBLANK(D152),"","A")),IF(D152="EE",IF(H152&gt;=3,IF(F152&gt;=5,"H","A"),IF(H152&gt;=2,IF(F152&gt;=16,"H",IF(F152&lt;=4,"L","A")),IF(F152&lt;=15,"L","A"))),IF(OR(D152="SE",D152="CE"),IF(H152&gt;=4,IF(F152&gt;=6,"H","A"),IF(H152&gt;=2,IF(F152&gt;=20,"H",IF(F152&lt;=5,"L","A")),IF(F152&lt;=19,"L","A"))),IF(OR(D152="ALI",D152="AIE"),IF(H152&gt;=6,IF(F152&gt;=20,"H","A"),IF(H152&gt;=2,IF(F152&gt;=51,"H",IF(F152&lt;=19,"L","A")),IF(F152&lt;=50,"L","A")))))))</f>
        <v/>
      </c>
      <c r="M152" s="20">
        <f>IF(L152="L","Baixa",IF(L152="A","Média",IF(L152="","","Alta")))</f>
        <v/>
      </c>
      <c r="N152" s="21">
        <f>IF(ISBLANK(D152),"",IF(D152="ALI",IF(L152="L",7,IF(L152="A",10,15)),IF(D152="AIE",IF(L152="L",5,IF(L152="A",7,10)),IF(D152="SE",IF(L152="L",4,IF(L152="A",5,7)),IF(OR(D152="EE",D152="CE"),IF(L152="L",3,IF(L152="A",4,6)))))))</f>
        <v/>
      </c>
      <c r="O152" s="59">
        <f>IF(E152&lt;&gt;"",VLOOKUP(E152,$P180:$Q211,2,FALSE),"-")</f>
        <v/>
      </c>
      <c r="P152" s="50">
        <f>IF(OR(E152="Manutenção Interface",E152="Paginas Estáticas"),J152*O152,
IF(OR(D152="",E152=""),"",
N152*O152))</f>
        <v/>
      </c>
      <c r="Q152" s="21" t="n"/>
      <c r="S152" s="69">
        <f>IF(OR(M152="Baixa",E152="Manutenção Interface",E152="Paginas Estáticas"),1,0)</f>
        <v/>
      </c>
      <c r="T152" s="69">
        <f>IF(OR(M152="Média",M152="Alta"),1,0)</f>
        <v/>
      </c>
    </row>
    <row r="153" ht="14.25" customHeight="1" s="30">
      <c r="B153" s="105" t="n"/>
      <c r="C153" s="102" t="n"/>
      <c r="D153" s="19" t="n"/>
      <c r="E153" s="57" t="n"/>
      <c r="F153" s="57" t="n"/>
      <c r="G153" s="57" t="n"/>
      <c r="H153" s="57" t="n"/>
      <c r="I153" s="57" t="n"/>
      <c r="J153" s="57" t="n"/>
      <c r="K153" s="57">
        <f>CONCATENATE(D153,L153)</f>
        <v/>
      </c>
      <c r="L153" s="57">
        <f>IF(OR(ISBLANK(F153),ISBLANK(H153)),IF(OR(D153="ALI",D153="AIE"),"L",IF(ISBLANK(D153),"","A")),IF(D153="EE",IF(H153&gt;=3,IF(F153&gt;=5,"H","A"),IF(H153&gt;=2,IF(F153&gt;=16,"H",IF(F153&lt;=4,"L","A")),IF(F153&lt;=15,"L","A"))),IF(OR(D153="SE",D153="CE"),IF(H153&gt;=4,IF(F153&gt;=6,"H","A"),IF(H153&gt;=2,IF(F153&gt;=20,"H",IF(F153&lt;=5,"L","A")),IF(F153&lt;=19,"L","A"))),IF(OR(D153="ALI",D153="AIE"),IF(H153&gt;=6,IF(F153&gt;=20,"H","A"),IF(H153&gt;=2,IF(F153&gt;=51,"H",IF(F153&lt;=19,"L","A")),IF(F153&lt;=50,"L","A")))))))</f>
        <v/>
      </c>
      <c r="M153" s="20">
        <f>IF(L153="L","Baixa",IF(L153="A","Média",IF(L153="","","Alta")))</f>
        <v/>
      </c>
      <c r="N153" s="21">
        <f>IF(ISBLANK(D153),"",IF(D153="ALI",IF(L153="L",7,IF(L153="A",10,15)),IF(D153="AIE",IF(L153="L",5,IF(L153="A",7,10)),IF(D153="SE",IF(L153="L",4,IF(L153="A",5,7)),IF(OR(D153="EE",D153="CE"),IF(L153="L",3,IF(L153="A",4,6)))))))</f>
        <v/>
      </c>
      <c r="O153" s="59">
        <f>IF(E153&lt;&gt;"",VLOOKUP(E153,$P180:$Q211,2,FALSE),"-")</f>
        <v/>
      </c>
      <c r="P153" s="50">
        <f>IF(OR(E153="Manutenção Interface",E153="Paginas Estáticas"),J153*O153,
IF(OR(D153="",E153=""),"",
N153*O153))</f>
        <v/>
      </c>
      <c r="Q153" s="21" t="n"/>
      <c r="S153" s="69">
        <f>IF(OR(M153="Baixa",E153="Manutenção Interface",E153="Paginas Estáticas"),1,0)</f>
        <v/>
      </c>
      <c r="T153" s="69">
        <f>IF(OR(M153="Média",M153="Alta"),1,0)</f>
        <v/>
      </c>
    </row>
    <row r="154" ht="14.25" customHeight="1" s="30">
      <c r="B154" s="105" t="n"/>
      <c r="C154" s="102" t="n"/>
      <c r="D154" s="19" t="n"/>
      <c r="E154" s="57" t="n"/>
      <c r="F154" s="57" t="n"/>
      <c r="G154" s="57" t="n"/>
      <c r="H154" s="57" t="n"/>
      <c r="I154" s="57" t="n"/>
      <c r="J154" s="57" t="n"/>
      <c r="K154" s="57">
        <f>CONCATENATE(D154,L154)</f>
        <v/>
      </c>
      <c r="L154" s="57">
        <f>IF(OR(ISBLANK(F154),ISBLANK(H154)),IF(OR(D154="ALI",D154="AIE"),"L",IF(ISBLANK(D154),"","A")),IF(D154="EE",IF(H154&gt;=3,IF(F154&gt;=5,"H","A"),IF(H154&gt;=2,IF(F154&gt;=16,"H",IF(F154&lt;=4,"L","A")),IF(F154&lt;=15,"L","A"))),IF(OR(D154="SE",D154="CE"),IF(H154&gt;=4,IF(F154&gt;=6,"H","A"),IF(H154&gt;=2,IF(F154&gt;=20,"H",IF(F154&lt;=5,"L","A")),IF(F154&lt;=19,"L","A"))),IF(OR(D154="ALI",D154="AIE"),IF(H154&gt;=6,IF(F154&gt;=20,"H","A"),IF(H154&gt;=2,IF(F154&gt;=51,"H",IF(F154&lt;=19,"L","A")),IF(F154&lt;=50,"L","A")))))))</f>
        <v/>
      </c>
      <c r="M154" s="20">
        <f>IF(L154="L","Baixa",IF(L154="A","Média",IF(L154="","","Alta")))</f>
        <v/>
      </c>
      <c r="N154" s="21">
        <f>IF(ISBLANK(D154),"",IF(D154="ALI",IF(L154="L",7,IF(L154="A",10,15)),IF(D154="AIE",IF(L154="L",5,IF(L154="A",7,10)),IF(D154="SE",IF(L154="L",4,IF(L154="A",5,7)),IF(OR(D154="EE",D154="CE"),IF(L154="L",3,IF(L154="A",4,6)))))))</f>
        <v/>
      </c>
      <c r="O154" s="59">
        <f>IF(E154&lt;&gt;"",VLOOKUP(E154,$P180:$Q211,2,FALSE),"-")</f>
        <v/>
      </c>
      <c r="P154" s="50">
        <f>IF(OR(E154="Manutenção Interface",E154="Paginas Estáticas"),J154*O154,
IF(OR(D154="",E154=""),"",
N154*O154))</f>
        <v/>
      </c>
      <c r="Q154" s="21" t="n"/>
      <c r="S154" s="69">
        <f>IF(OR(M154="Baixa",E154="Manutenção Interface",E154="Paginas Estáticas"),1,0)</f>
        <v/>
      </c>
      <c r="T154" s="69">
        <f>IF(OR(M154="Média",M154="Alta"),1,0)</f>
        <v/>
      </c>
    </row>
    <row r="155" ht="14.25" customHeight="1" s="30">
      <c r="B155" s="105" t="n"/>
      <c r="C155" s="102" t="n"/>
      <c r="D155" s="19" t="n"/>
      <c r="E155" s="57" t="n"/>
      <c r="F155" s="57" t="n"/>
      <c r="G155" s="57" t="n"/>
      <c r="H155" s="57" t="n"/>
      <c r="I155" s="57" t="n"/>
      <c r="J155" s="57" t="n"/>
      <c r="K155" s="57">
        <f>CONCATENATE(D155,L155)</f>
        <v/>
      </c>
      <c r="L155" s="57">
        <f>IF(OR(ISBLANK(F155),ISBLANK(H155)),IF(OR(D155="ALI",D155="AIE"),"L",IF(ISBLANK(D155),"","A")),IF(D155="EE",IF(H155&gt;=3,IF(F155&gt;=5,"H","A"),IF(H155&gt;=2,IF(F155&gt;=16,"H",IF(F155&lt;=4,"L","A")),IF(F155&lt;=15,"L","A"))),IF(OR(D155="SE",D155="CE"),IF(H155&gt;=4,IF(F155&gt;=6,"H","A"),IF(H155&gt;=2,IF(F155&gt;=20,"H",IF(F155&lt;=5,"L","A")),IF(F155&lt;=19,"L","A"))),IF(OR(D155="ALI",D155="AIE"),IF(H155&gt;=6,IF(F155&gt;=20,"H","A"),IF(H155&gt;=2,IF(F155&gt;=51,"H",IF(F155&lt;=19,"L","A")),IF(F155&lt;=50,"L","A")))))))</f>
        <v/>
      </c>
      <c r="M155" s="20">
        <f>IF(L155="L","Baixa",IF(L155="A","Média",IF(L155="","","Alta")))</f>
        <v/>
      </c>
      <c r="N155" s="21">
        <f>IF(ISBLANK(D155),"",IF(D155="ALI",IF(L155="L",7,IF(L155="A",10,15)),IF(D155="AIE",IF(L155="L",5,IF(L155="A",7,10)),IF(D155="SE",IF(L155="L",4,IF(L155="A",5,7)),IF(OR(D155="EE",D155="CE"),IF(L155="L",3,IF(L155="A",4,6)))))))</f>
        <v/>
      </c>
      <c r="O155" s="59">
        <f>IF(E155&lt;&gt;"",VLOOKUP(E155,$P180:$Q211,2,FALSE),"-")</f>
        <v/>
      </c>
      <c r="P155" s="50">
        <f>IF(OR(E155="Manutenção Interface",E155="Paginas Estáticas"),J155*O155,
IF(OR(D155="",E155=""),"",
N155*O155))</f>
        <v/>
      </c>
      <c r="Q155" s="21" t="n"/>
      <c r="S155" s="69">
        <f>IF(OR(M155="Baixa",E155="Manutenção Interface",E155="Paginas Estáticas"),1,0)</f>
        <v/>
      </c>
      <c r="T155" s="69">
        <f>IF(OR(M155="Média",M155="Alta"),1,0)</f>
        <v/>
      </c>
    </row>
    <row r="156" ht="14.25" customHeight="1" s="30">
      <c r="B156" s="105" t="n"/>
      <c r="C156" s="102" t="n"/>
      <c r="D156" s="19" t="n"/>
      <c r="E156" s="57" t="n"/>
      <c r="F156" s="57" t="n"/>
      <c r="G156" s="57" t="n"/>
      <c r="H156" s="57" t="n"/>
      <c r="I156" s="57" t="n"/>
      <c r="J156" s="57" t="n"/>
      <c r="K156" s="57">
        <f>CONCATENATE(D156,L156)</f>
        <v/>
      </c>
      <c r="L156" s="57">
        <f>IF(OR(ISBLANK(F156),ISBLANK(H156)),IF(OR(D156="ALI",D156="AIE"),"L",IF(ISBLANK(D156),"","A")),IF(D156="EE",IF(H156&gt;=3,IF(F156&gt;=5,"H","A"),IF(H156&gt;=2,IF(F156&gt;=16,"H",IF(F156&lt;=4,"L","A")),IF(F156&lt;=15,"L","A"))),IF(OR(D156="SE",D156="CE"),IF(H156&gt;=4,IF(F156&gt;=6,"H","A"),IF(H156&gt;=2,IF(F156&gt;=20,"H",IF(F156&lt;=5,"L","A")),IF(F156&lt;=19,"L","A"))),IF(OR(D156="ALI",D156="AIE"),IF(H156&gt;=6,IF(F156&gt;=20,"H","A"),IF(H156&gt;=2,IF(F156&gt;=51,"H",IF(F156&lt;=19,"L","A")),IF(F156&lt;=50,"L","A")))))))</f>
        <v/>
      </c>
      <c r="M156" s="20">
        <f>IF(L156="L","Baixa",IF(L156="A","Média",IF(L156="","","Alta")))</f>
        <v/>
      </c>
      <c r="N156" s="21">
        <f>IF(ISBLANK(D156),"",IF(D156="ALI",IF(L156="L",7,IF(L156="A",10,15)),IF(D156="AIE",IF(L156="L",5,IF(L156="A",7,10)),IF(D156="SE",IF(L156="L",4,IF(L156="A",5,7)),IF(OR(D156="EE",D156="CE"),IF(L156="L",3,IF(L156="A",4,6)))))))</f>
        <v/>
      </c>
      <c r="O156" s="59">
        <f>IF(E156&lt;&gt;"",VLOOKUP(E156,$P180:$Q211,2,FALSE),"-")</f>
        <v/>
      </c>
      <c r="P156" s="50">
        <f>IF(OR(E156="Manutenção Interface",E156="Paginas Estáticas"),J156*O156,
IF(OR(D156="",E156=""),"",
N156*O156))</f>
        <v/>
      </c>
      <c r="Q156" s="21" t="n"/>
      <c r="S156" s="69">
        <f>IF(OR(M156="Baixa",E156="Manutenção Interface",E156="Paginas Estáticas"),1,0)</f>
        <v/>
      </c>
      <c r="T156" s="69">
        <f>IF(OR(M156="Média",M156="Alta"),1,0)</f>
        <v/>
      </c>
    </row>
    <row r="157" ht="14.25" customHeight="1" s="30">
      <c r="B157" s="105" t="n"/>
      <c r="C157" s="102" t="n"/>
      <c r="D157" s="19" t="n"/>
      <c r="E157" s="57" t="n"/>
      <c r="F157" s="57" t="n"/>
      <c r="G157" s="57" t="n"/>
      <c r="H157" s="57" t="n"/>
      <c r="I157" s="57" t="n"/>
      <c r="J157" s="57" t="n"/>
      <c r="K157" s="57">
        <f>CONCATENATE(D157,L157)</f>
        <v/>
      </c>
      <c r="L157" s="57">
        <f>IF(OR(ISBLANK(F157),ISBLANK(H157)),IF(OR(D157="ALI",D157="AIE"),"L",IF(ISBLANK(D157),"","A")),IF(D157="EE",IF(H157&gt;=3,IF(F157&gt;=5,"H","A"),IF(H157&gt;=2,IF(F157&gt;=16,"H",IF(F157&lt;=4,"L","A")),IF(F157&lt;=15,"L","A"))),IF(OR(D157="SE",D157="CE"),IF(H157&gt;=4,IF(F157&gt;=6,"H","A"),IF(H157&gt;=2,IF(F157&gt;=20,"H",IF(F157&lt;=5,"L","A")),IF(F157&lt;=19,"L","A"))),IF(OR(D157="ALI",D157="AIE"),IF(H157&gt;=6,IF(F157&gt;=20,"H","A"),IF(H157&gt;=2,IF(F157&gt;=51,"H",IF(F157&lt;=19,"L","A")),IF(F157&lt;=50,"L","A")))))))</f>
        <v/>
      </c>
      <c r="M157" s="20">
        <f>IF(L157="L","Baixa",IF(L157="A","Média",IF(L157="","","Alta")))</f>
        <v/>
      </c>
      <c r="N157" s="21">
        <f>IF(ISBLANK(D157),"",IF(D157="ALI",IF(L157="L",7,IF(L157="A",10,15)),IF(D157="AIE",IF(L157="L",5,IF(L157="A",7,10)),IF(D157="SE",IF(L157="L",4,IF(L157="A",5,7)),IF(OR(D157="EE",D157="CE"),IF(L157="L",3,IF(L157="A",4,6)))))))</f>
        <v/>
      </c>
      <c r="O157" s="59">
        <f>IF(E157&lt;&gt;"",VLOOKUP(E157,$P180:$Q211,2,FALSE),"-")</f>
        <v/>
      </c>
      <c r="P157" s="50">
        <f>IF(OR(E157="Manutenção Interface",E157="Paginas Estáticas"),J157*O157,
IF(OR(D157="",E157=""),"",
N157*O157))</f>
        <v/>
      </c>
      <c r="Q157" s="21" t="n"/>
      <c r="S157" s="69">
        <f>IF(OR(M157="Baixa",E157="Manutenção Interface",E157="Paginas Estáticas"),1,0)</f>
        <v/>
      </c>
      <c r="T157" s="69">
        <f>IF(OR(M157="Média",M157="Alta"),1,0)</f>
        <v/>
      </c>
    </row>
    <row r="158" ht="14.25" customHeight="1" s="30">
      <c r="B158" s="105" t="n"/>
      <c r="C158" s="102" t="n"/>
      <c r="D158" s="19" t="n"/>
      <c r="E158" s="57" t="n"/>
      <c r="F158" s="57" t="n"/>
      <c r="G158" s="57" t="n"/>
      <c r="H158" s="57" t="n"/>
      <c r="I158" s="57" t="n"/>
      <c r="J158" s="57" t="n"/>
      <c r="K158" s="57">
        <f>CONCATENATE(D158,L158)</f>
        <v/>
      </c>
      <c r="L158" s="57">
        <f>IF(OR(ISBLANK(F158),ISBLANK(H158)),IF(OR(D158="ALI",D158="AIE"),"L",IF(ISBLANK(D158),"","A")),IF(D158="EE",IF(H158&gt;=3,IF(F158&gt;=5,"H","A"),IF(H158&gt;=2,IF(F158&gt;=16,"H",IF(F158&lt;=4,"L","A")),IF(F158&lt;=15,"L","A"))),IF(OR(D158="SE",D158="CE"),IF(H158&gt;=4,IF(F158&gt;=6,"H","A"),IF(H158&gt;=2,IF(F158&gt;=20,"H",IF(F158&lt;=5,"L","A")),IF(F158&lt;=19,"L","A"))),IF(OR(D158="ALI",D158="AIE"),IF(H158&gt;=6,IF(F158&gt;=20,"H","A"),IF(H158&gt;=2,IF(F158&gt;=51,"H",IF(F158&lt;=19,"L","A")),IF(F158&lt;=50,"L","A")))))))</f>
        <v/>
      </c>
      <c r="M158" s="20">
        <f>IF(L158="L","Baixa",IF(L158="A","Média",IF(L158="","","Alta")))</f>
        <v/>
      </c>
      <c r="N158" s="21">
        <f>IF(ISBLANK(D158),"",IF(D158="ALI",IF(L158="L",7,IF(L158="A",10,15)),IF(D158="AIE",IF(L158="L",5,IF(L158="A",7,10)),IF(D158="SE",IF(L158="L",4,IF(L158="A",5,7)),IF(OR(D158="EE",D158="CE"),IF(L158="L",3,IF(L158="A",4,6)))))))</f>
        <v/>
      </c>
      <c r="O158" s="59">
        <f>IF(E158&lt;&gt;"",VLOOKUP(E158,$P180:$Q211,2,FALSE),"-")</f>
        <v/>
      </c>
      <c r="P158" s="50">
        <f>IF(OR(E158="Manutenção Interface",E158="Paginas Estáticas"),J158*O158,
IF(OR(D158="",E158=""),"",
N158*O158))</f>
        <v/>
      </c>
      <c r="Q158" s="21" t="n"/>
      <c r="S158" s="69">
        <f>IF(OR(M158="Baixa",E158="Manutenção Interface",E158="Paginas Estáticas"),1,0)</f>
        <v/>
      </c>
      <c r="T158" s="69">
        <f>IF(OR(M158="Média",M158="Alta"),1,0)</f>
        <v/>
      </c>
    </row>
    <row r="159" ht="14.25" customHeight="1" s="30">
      <c r="B159" s="105" t="n"/>
      <c r="C159" s="102" t="n"/>
      <c r="D159" s="19" t="n"/>
      <c r="E159" s="57" t="n"/>
      <c r="F159" s="57" t="n"/>
      <c r="G159" s="57" t="n"/>
      <c r="H159" s="57" t="n"/>
      <c r="I159" s="57" t="n"/>
      <c r="J159" s="57" t="n"/>
      <c r="K159" s="57">
        <f>CONCATENATE(D159,L159)</f>
        <v/>
      </c>
      <c r="L159" s="57">
        <f>IF(OR(ISBLANK(F159),ISBLANK(H159)),IF(OR(D159="ALI",D159="AIE"),"L",IF(ISBLANK(D159),"","A")),IF(D159="EE",IF(H159&gt;=3,IF(F159&gt;=5,"H","A"),IF(H159&gt;=2,IF(F159&gt;=16,"H",IF(F159&lt;=4,"L","A")),IF(F159&lt;=15,"L","A"))),IF(OR(D159="SE",D159="CE"),IF(H159&gt;=4,IF(F159&gt;=6,"H","A"),IF(H159&gt;=2,IF(F159&gt;=20,"H",IF(F159&lt;=5,"L","A")),IF(F159&lt;=19,"L","A"))),IF(OR(D159="ALI",D159="AIE"),IF(H159&gt;=6,IF(F159&gt;=20,"H","A"),IF(H159&gt;=2,IF(F159&gt;=51,"H",IF(F159&lt;=19,"L","A")),IF(F159&lt;=50,"L","A")))))))</f>
        <v/>
      </c>
      <c r="M159" s="20">
        <f>IF(L159="L","Baixa",IF(L159="A","Média",IF(L159="","","Alta")))</f>
        <v/>
      </c>
      <c r="N159" s="21">
        <f>IF(ISBLANK(D159),"",IF(D159="ALI",IF(L159="L",7,IF(L159="A",10,15)),IF(D159="AIE",IF(L159="L",5,IF(L159="A",7,10)),IF(D159="SE",IF(L159="L",4,IF(L159="A",5,7)),IF(OR(D159="EE",D159="CE"),IF(L159="L",3,IF(L159="A",4,6)))))))</f>
        <v/>
      </c>
      <c r="O159" s="59">
        <f>IF(E159&lt;&gt;"",VLOOKUP(E159,$P180:$Q211,2,FALSE),"-")</f>
        <v/>
      </c>
      <c r="P159" s="50">
        <f>IF(OR(E159="Manutenção Interface",E159="Paginas Estáticas"),J159*O159,
IF(OR(D159="",E159=""),"",
N159*O159))</f>
        <v/>
      </c>
      <c r="Q159" s="21" t="n"/>
      <c r="S159" s="69">
        <f>IF(OR(M159="Baixa",E159="Manutenção Interface",E159="Paginas Estáticas"),1,0)</f>
        <v/>
      </c>
      <c r="T159" s="69">
        <f>IF(OR(M159="Média",M159="Alta"),1,0)</f>
        <v/>
      </c>
    </row>
    <row r="160" ht="14.25" customHeight="1" s="30">
      <c r="B160" s="105" t="n"/>
      <c r="C160" s="102" t="n"/>
      <c r="D160" s="19" t="n"/>
      <c r="E160" s="57" t="n"/>
      <c r="F160" s="57" t="n"/>
      <c r="G160" s="57" t="n"/>
      <c r="H160" s="57" t="n"/>
      <c r="I160" s="57" t="n"/>
      <c r="J160" s="57" t="n"/>
      <c r="K160" s="57">
        <f>CONCATENATE(D160,L160)</f>
        <v/>
      </c>
      <c r="L160" s="57">
        <f>IF(OR(ISBLANK(F160),ISBLANK(H160)),IF(OR(D160="ALI",D160="AIE"),"L",IF(ISBLANK(D160),"","A")),IF(D160="EE",IF(H160&gt;=3,IF(F160&gt;=5,"H","A"),IF(H160&gt;=2,IF(F160&gt;=16,"H",IF(F160&lt;=4,"L","A")),IF(F160&lt;=15,"L","A"))),IF(OR(D160="SE",D160="CE"),IF(H160&gt;=4,IF(F160&gt;=6,"H","A"),IF(H160&gt;=2,IF(F160&gt;=20,"H",IF(F160&lt;=5,"L","A")),IF(F160&lt;=19,"L","A"))),IF(OR(D160="ALI",D160="AIE"),IF(H160&gt;=6,IF(F160&gt;=20,"H","A"),IF(H160&gt;=2,IF(F160&gt;=51,"H",IF(F160&lt;=19,"L","A")),IF(F160&lt;=50,"L","A")))))))</f>
        <v/>
      </c>
      <c r="M160" s="20">
        <f>IF(L160="L","Baixa",IF(L160="A","Média",IF(L160="","","Alta")))</f>
        <v/>
      </c>
      <c r="N160" s="21">
        <f>IF(ISBLANK(D160),"",IF(D160="ALI",IF(L160="L",7,IF(L160="A",10,15)),IF(D160="AIE",IF(L160="L",5,IF(L160="A",7,10)),IF(D160="SE",IF(L160="L",4,IF(L160="A",5,7)),IF(OR(D160="EE",D160="CE"),IF(L160="L",3,IF(L160="A",4,6)))))))</f>
        <v/>
      </c>
      <c r="O160" s="59">
        <f>IF(E160&lt;&gt;"",VLOOKUP(E160,$P180:$Q211,2,FALSE),"-")</f>
        <v/>
      </c>
      <c r="P160" s="50">
        <f>IF(OR(E160="Manutenção Interface",E160="Paginas Estáticas"),J160*O160,
IF(OR(D160="",E160=""),"",
N160*O160))</f>
        <v/>
      </c>
      <c r="Q160" s="21" t="n"/>
      <c r="S160" s="69">
        <f>IF(OR(M160="Baixa",E160="Manutenção Interface",E160="Paginas Estáticas"),1,0)</f>
        <v/>
      </c>
      <c r="T160" s="69">
        <f>IF(OR(M160="Média",M160="Alta"),1,0)</f>
        <v/>
      </c>
    </row>
    <row r="161" ht="14.25" customHeight="1" s="30">
      <c r="B161" s="105" t="n"/>
      <c r="C161" s="102" t="n"/>
      <c r="D161" s="19" t="n"/>
      <c r="E161" s="57" t="n"/>
      <c r="F161" s="57" t="n"/>
      <c r="G161" s="57" t="n"/>
      <c r="H161" s="57" t="n"/>
      <c r="I161" s="57" t="n"/>
      <c r="J161" s="57" t="n"/>
      <c r="K161" s="57">
        <f>CONCATENATE(D161,L161)</f>
        <v/>
      </c>
      <c r="L161" s="57">
        <f>IF(OR(ISBLANK(F161),ISBLANK(H161)),IF(OR(D161="ALI",D161="AIE"),"L",IF(ISBLANK(D161),"","A")),IF(D161="EE",IF(H161&gt;=3,IF(F161&gt;=5,"H","A"),IF(H161&gt;=2,IF(F161&gt;=16,"H",IF(F161&lt;=4,"L","A")),IF(F161&lt;=15,"L","A"))),IF(OR(D161="SE",D161="CE"),IF(H161&gt;=4,IF(F161&gt;=6,"H","A"),IF(H161&gt;=2,IF(F161&gt;=20,"H",IF(F161&lt;=5,"L","A")),IF(F161&lt;=19,"L","A"))),IF(OR(D161="ALI",D161="AIE"),IF(H161&gt;=6,IF(F161&gt;=20,"H","A"),IF(H161&gt;=2,IF(F161&gt;=51,"H",IF(F161&lt;=19,"L","A")),IF(F161&lt;=50,"L","A")))))))</f>
        <v/>
      </c>
      <c r="M161" s="20">
        <f>IF(L161="L","Baixa",IF(L161="A","Média",IF(L161="","","Alta")))</f>
        <v/>
      </c>
      <c r="N161" s="21">
        <f>IF(ISBLANK(D161),"",IF(D161="ALI",IF(L161="L",7,IF(L161="A",10,15)),IF(D161="AIE",IF(L161="L",5,IF(L161="A",7,10)),IF(D161="SE",IF(L161="L",4,IF(L161="A",5,7)),IF(OR(D161="EE",D161="CE"),IF(L161="L",3,IF(L161="A",4,6)))))))</f>
        <v/>
      </c>
      <c r="O161" s="59">
        <f>IF(E161&lt;&gt;"",VLOOKUP(E161,$P180:$Q211,2,FALSE),"-")</f>
        <v/>
      </c>
      <c r="P161" s="50">
        <f>IF(OR(E161="Manutenção Interface",E161="Paginas Estáticas"),J161*O161,
IF(OR(D161="",E161=""),"",
N161*O161))</f>
        <v/>
      </c>
      <c r="Q161" s="21" t="n"/>
      <c r="S161" s="69">
        <f>IF(OR(M161="Baixa",E161="Manutenção Interface",E161="Paginas Estáticas"),1,0)</f>
        <v/>
      </c>
      <c r="T161" s="69">
        <f>IF(OR(M161="Média",M161="Alta"),1,0)</f>
        <v/>
      </c>
    </row>
    <row r="162" ht="14.25" customHeight="1" s="30">
      <c r="B162" s="105" t="n"/>
      <c r="C162" s="102" t="n"/>
      <c r="D162" s="19" t="n"/>
      <c r="E162" s="57" t="n"/>
      <c r="F162" s="57" t="n"/>
      <c r="G162" s="57" t="n"/>
      <c r="H162" s="57" t="n"/>
      <c r="I162" s="57" t="n"/>
      <c r="J162" s="57" t="n"/>
      <c r="K162" s="57">
        <f>CONCATENATE(D162,L162)</f>
        <v/>
      </c>
      <c r="L162" s="57">
        <f>IF(OR(ISBLANK(F162),ISBLANK(H162)),IF(OR(D162="ALI",D162="AIE"),"L",IF(ISBLANK(D162),"","A")),IF(D162="EE",IF(H162&gt;=3,IF(F162&gt;=5,"H","A"),IF(H162&gt;=2,IF(F162&gt;=16,"H",IF(F162&lt;=4,"L","A")),IF(F162&lt;=15,"L","A"))),IF(OR(D162="SE",D162="CE"),IF(H162&gt;=4,IF(F162&gt;=6,"H","A"),IF(H162&gt;=2,IF(F162&gt;=20,"H",IF(F162&lt;=5,"L","A")),IF(F162&lt;=19,"L","A"))),IF(OR(D162="ALI",D162="AIE"),IF(H162&gt;=6,IF(F162&gt;=20,"H","A"),IF(H162&gt;=2,IF(F162&gt;=51,"H",IF(F162&lt;=19,"L","A")),IF(F162&lt;=50,"L","A")))))))</f>
        <v/>
      </c>
      <c r="M162" s="20">
        <f>IF(L162="L","Baixa",IF(L162="A","Média",IF(L162="","","Alta")))</f>
        <v/>
      </c>
      <c r="N162" s="21">
        <f>IF(ISBLANK(D162),"",IF(D162="ALI",IF(L162="L",7,IF(L162="A",10,15)),IF(D162="AIE",IF(L162="L",5,IF(L162="A",7,10)),IF(D162="SE",IF(L162="L",4,IF(L162="A",5,7)),IF(OR(D162="EE",D162="CE"),IF(L162="L",3,IF(L162="A",4,6)))))))</f>
        <v/>
      </c>
      <c r="O162" s="59">
        <f>IF(E162&lt;&gt;"",VLOOKUP(E162,$P180:$Q211,2,FALSE),"-")</f>
        <v/>
      </c>
      <c r="P162" s="50">
        <f>IF(OR(E162="Manutenção Interface",E162="Paginas Estáticas"),J162*O162,
IF(OR(D162="",E162=""),"",
N162*O162))</f>
        <v/>
      </c>
      <c r="Q162" s="21" t="n"/>
      <c r="S162" s="69">
        <f>IF(OR(M162="Baixa",E162="Manutenção Interface",E162="Paginas Estáticas"),1,0)</f>
        <v/>
      </c>
      <c r="T162" s="69">
        <f>IF(OR(M162="Média",M162="Alta"),1,0)</f>
        <v/>
      </c>
    </row>
    <row r="163" ht="14.25" customHeight="1" s="30">
      <c r="B163" s="105" t="n"/>
      <c r="C163" s="102" t="n"/>
      <c r="D163" s="19" t="n"/>
      <c r="E163" s="57" t="n"/>
      <c r="F163" s="57" t="n"/>
      <c r="G163" s="57" t="n"/>
      <c r="H163" s="57" t="n"/>
      <c r="I163" s="57" t="n"/>
      <c r="J163" s="57" t="n"/>
      <c r="K163" s="57">
        <f>CONCATENATE(D163,L163)</f>
        <v/>
      </c>
      <c r="L163" s="57">
        <f>IF(OR(ISBLANK(F163),ISBLANK(H163)),IF(OR(D163="ALI",D163="AIE"),"L",IF(ISBLANK(D163),"","A")),IF(D163="EE",IF(H163&gt;=3,IF(F163&gt;=5,"H","A"),IF(H163&gt;=2,IF(F163&gt;=16,"H",IF(F163&lt;=4,"L","A")),IF(F163&lt;=15,"L","A"))),IF(OR(D163="SE",D163="CE"),IF(H163&gt;=4,IF(F163&gt;=6,"H","A"),IF(H163&gt;=2,IF(F163&gt;=20,"H",IF(F163&lt;=5,"L","A")),IF(F163&lt;=19,"L","A"))),IF(OR(D163="ALI",D163="AIE"),IF(H163&gt;=6,IF(F163&gt;=20,"H","A"),IF(H163&gt;=2,IF(F163&gt;=51,"H",IF(F163&lt;=19,"L","A")),IF(F163&lt;=50,"L","A")))))))</f>
        <v/>
      </c>
      <c r="M163" s="20">
        <f>IF(L163="L","Baixa",IF(L163="A","Média",IF(L163="","","Alta")))</f>
        <v/>
      </c>
      <c r="N163" s="21">
        <f>IF(ISBLANK(D163),"",IF(D163="ALI",IF(L163="L",7,IF(L163="A",10,15)),IF(D163="AIE",IF(L163="L",5,IF(L163="A",7,10)),IF(D163="SE",IF(L163="L",4,IF(L163="A",5,7)),IF(OR(D163="EE",D163="CE"),IF(L163="L",3,IF(L163="A",4,6)))))))</f>
        <v/>
      </c>
      <c r="O163" s="59">
        <f>IF(E163&lt;&gt;"",VLOOKUP(E163,$P180:$Q211,2,FALSE),"-")</f>
        <v/>
      </c>
      <c r="P163" s="50">
        <f>IF(OR(E163="Manutenção Interface",E163="Paginas Estáticas"),J163*O163,
IF(OR(D163="",E163=""),"",
N163*O163))</f>
        <v/>
      </c>
      <c r="Q163" s="21" t="n"/>
      <c r="S163" s="69">
        <f>IF(OR(M163="Baixa",E163="Manutenção Interface",E163="Paginas Estáticas"),1,0)</f>
        <v/>
      </c>
      <c r="T163" s="69">
        <f>IF(OR(M163="Média",M163="Alta"),1,0)</f>
        <v/>
      </c>
    </row>
    <row r="164" ht="14.25" customHeight="1" s="30">
      <c r="B164" s="105" t="n"/>
      <c r="C164" s="102" t="n"/>
      <c r="D164" s="19" t="n"/>
      <c r="E164" s="57" t="n"/>
      <c r="F164" s="57" t="n"/>
      <c r="G164" s="57" t="n"/>
      <c r="H164" s="57" t="n"/>
      <c r="I164" s="57" t="n"/>
      <c r="J164" s="57" t="n"/>
      <c r="K164" s="57">
        <f>CONCATENATE(D164,L164)</f>
        <v/>
      </c>
      <c r="L164" s="57">
        <f>IF(OR(ISBLANK(F164),ISBLANK(H164)),IF(OR(D164="ALI",D164="AIE"),"L",IF(ISBLANK(D164),"","A")),IF(D164="EE",IF(H164&gt;=3,IF(F164&gt;=5,"H","A"),IF(H164&gt;=2,IF(F164&gt;=16,"H",IF(F164&lt;=4,"L","A")),IF(F164&lt;=15,"L","A"))),IF(OR(D164="SE",D164="CE"),IF(H164&gt;=4,IF(F164&gt;=6,"H","A"),IF(H164&gt;=2,IF(F164&gt;=20,"H",IF(F164&lt;=5,"L","A")),IF(F164&lt;=19,"L","A"))),IF(OR(D164="ALI",D164="AIE"),IF(H164&gt;=6,IF(F164&gt;=20,"H","A"),IF(H164&gt;=2,IF(F164&gt;=51,"H",IF(F164&lt;=19,"L","A")),IF(F164&lt;=50,"L","A")))))))</f>
        <v/>
      </c>
      <c r="M164" s="20">
        <f>IF(L164="L","Baixa",IF(L164="A","Média",IF(L164="","","Alta")))</f>
        <v/>
      </c>
      <c r="N164" s="21">
        <f>IF(ISBLANK(D164),"",IF(D164="ALI",IF(L164="L",7,IF(L164="A",10,15)),IF(D164="AIE",IF(L164="L",5,IF(L164="A",7,10)),IF(D164="SE",IF(L164="L",4,IF(L164="A",5,7)),IF(OR(D164="EE",D164="CE"),IF(L164="L",3,IF(L164="A",4,6)))))))</f>
        <v/>
      </c>
      <c r="O164" s="59">
        <f>IF(E164&lt;&gt;"",VLOOKUP(E164,$P180:$Q211,2,FALSE),"-")</f>
        <v/>
      </c>
      <c r="P164" s="50">
        <f>IF(OR(E164="Manutenção Interface",E164="Paginas Estáticas"),J164*O164,
IF(OR(D164="",E164=""),"",
N164*O164))</f>
        <v/>
      </c>
      <c r="Q164" s="21" t="n"/>
      <c r="S164" s="69">
        <f>IF(OR(M164="Baixa",E164="Manutenção Interface",E164="Paginas Estáticas"),1,0)</f>
        <v/>
      </c>
      <c r="T164" s="69">
        <f>IF(OR(M164="Média",M164="Alta"),1,0)</f>
        <v/>
      </c>
    </row>
    <row r="165" ht="14.25" customHeight="1" s="30">
      <c r="B165" s="105" t="n"/>
      <c r="C165" s="102" t="n"/>
      <c r="D165" s="19" t="n"/>
      <c r="E165" s="57" t="n"/>
      <c r="F165" s="57" t="n"/>
      <c r="G165" s="57" t="n"/>
      <c r="H165" s="57" t="n"/>
      <c r="I165" s="57" t="n"/>
      <c r="J165" s="57" t="n"/>
      <c r="K165" s="57">
        <f>CONCATENATE(D165,L165)</f>
        <v/>
      </c>
      <c r="L165" s="57">
        <f>IF(OR(ISBLANK(F165),ISBLANK(H165)),IF(OR(D165="ALI",D165="AIE"),"L",IF(ISBLANK(D165),"","A")),IF(D165="EE",IF(H165&gt;=3,IF(F165&gt;=5,"H","A"),IF(H165&gt;=2,IF(F165&gt;=16,"H",IF(F165&lt;=4,"L","A")),IF(F165&lt;=15,"L","A"))),IF(OR(D165="SE",D165="CE"),IF(H165&gt;=4,IF(F165&gt;=6,"H","A"),IF(H165&gt;=2,IF(F165&gt;=20,"H",IF(F165&lt;=5,"L","A")),IF(F165&lt;=19,"L","A"))),IF(OR(D165="ALI",D165="AIE"),IF(H165&gt;=6,IF(F165&gt;=20,"H","A"),IF(H165&gt;=2,IF(F165&gt;=51,"H",IF(F165&lt;=19,"L","A")),IF(F165&lt;=50,"L","A")))))))</f>
        <v/>
      </c>
      <c r="M165" s="20">
        <f>IF(L165="L","Baixa",IF(L165="A","Média",IF(L165="","","Alta")))</f>
        <v/>
      </c>
      <c r="N165" s="21">
        <f>IF(ISBLANK(D165),"",IF(D165="ALI",IF(L165="L",7,IF(L165="A",10,15)),IF(D165="AIE",IF(L165="L",5,IF(L165="A",7,10)),IF(D165="SE",IF(L165="L",4,IF(L165="A",5,7)),IF(OR(D165="EE",D165="CE"),IF(L165="L",3,IF(L165="A",4,6)))))))</f>
        <v/>
      </c>
      <c r="O165" s="59">
        <f>IF(E165&lt;&gt;"",VLOOKUP(E165,$P180:$Q211,2,FALSE),"-")</f>
        <v/>
      </c>
      <c r="P165" s="50">
        <f>IF(OR(E165="Manutenção Interface",E165="Paginas Estáticas"),J165*O165,
IF(OR(D165="",E165=""),"",
N165*O165))</f>
        <v/>
      </c>
      <c r="Q165" s="21" t="n"/>
      <c r="S165" s="69">
        <f>IF(OR(M165="Baixa",E165="Manutenção Interface",E165="Paginas Estáticas"),1,0)</f>
        <v/>
      </c>
      <c r="T165" s="69">
        <f>IF(OR(M165="Média",M165="Alta"),1,0)</f>
        <v/>
      </c>
    </row>
    <row r="166" ht="14.25" customHeight="1" s="30">
      <c r="B166" s="105" t="n"/>
      <c r="C166" s="102" t="n"/>
      <c r="D166" s="19" t="n"/>
      <c r="E166" s="57" t="n"/>
      <c r="F166" s="57" t="n"/>
      <c r="G166" s="57" t="n"/>
      <c r="H166" s="57" t="n"/>
      <c r="I166" s="57" t="n"/>
      <c r="J166" s="57" t="n"/>
      <c r="K166" s="57">
        <f>CONCATENATE(D166,L166)</f>
        <v/>
      </c>
      <c r="L166" s="57">
        <f>IF(OR(ISBLANK(F166),ISBLANK(H166)),IF(OR(D166="ALI",D166="AIE"),"L",IF(ISBLANK(D166),"","A")),IF(D166="EE",IF(H166&gt;=3,IF(F166&gt;=5,"H","A"),IF(H166&gt;=2,IF(F166&gt;=16,"H",IF(F166&lt;=4,"L","A")),IF(F166&lt;=15,"L","A"))),IF(OR(D166="SE",D166="CE"),IF(H166&gt;=4,IF(F166&gt;=6,"H","A"),IF(H166&gt;=2,IF(F166&gt;=20,"H",IF(F166&lt;=5,"L","A")),IF(F166&lt;=19,"L","A"))),IF(OR(D166="ALI",D166="AIE"),IF(H166&gt;=6,IF(F166&gt;=20,"H","A"),IF(H166&gt;=2,IF(F166&gt;=51,"H",IF(F166&lt;=19,"L","A")),IF(F166&lt;=50,"L","A")))))))</f>
        <v/>
      </c>
      <c r="M166" s="20">
        <f>IF(L166="L","Baixa",IF(L166="A","Média",IF(L166="","","Alta")))</f>
        <v/>
      </c>
      <c r="N166" s="21">
        <f>IF(ISBLANK(D166),"",IF(D166="ALI",IF(L166="L",7,IF(L166="A",10,15)),IF(D166="AIE",IF(L166="L",5,IF(L166="A",7,10)),IF(D166="SE",IF(L166="L",4,IF(L166="A",5,7)),IF(OR(D166="EE",D166="CE"),IF(L166="L",3,IF(L166="A",4,6)))))))</f>
        <v/>
      </c>
      <c r="O166" s="59">
        <f>IF(E166&lt;&gt;"",VLOOKUP(E166,$P180:$Q211,2,FALSE),"-")</f>
        <v/>
      </c>
      <c r="P166" s="50">
        <f>IF(OR(E166="Manutenção Interface",E166="Paginas Estáticas"),J166*O166,
IF(OR(D166="",E166=""),"",
N166*O166))</f>
        <v/>
      </c>
      <c r="Q166" s="21" t="n"/>
      <c r="S166" s="69">
        <f>IF(OR(M166="Baixa",E166="Manutenção Interface",E166="Paginas Estáticas"),1,0)</f>
        <v/>
      </c>
      <c r="T166" s="69">
        <f>IF(OR(M166="Média",M166="Alta"),1,0)</f>
        <v/>
      </c>
    </row>
    <row r="167" ht="14.25" customHeight="1" s="30">
      <c r="B167" s="105" t="n"/>
      <c r="C167" s="102" t="n"/>
      <c r="D167" s="19" t="n"/>
      <c r="E167" s="57" t="n"/>
      <c r="F167" s="57" t="n"/>
      <c r="G167" s="57" t="n"/>
      <c r="H167" s="57" t="n"/>
      <c r="I167" s="57" t="n"/>
      <c r="J167" s="57" t="n"/>
      <c r="K167" s="57">
        <f>CONCATENATE(D167,L167)</f>
        <v/>
      </c>
      <c r="L167" s="57">
        <f>IF(OR(ISBLANK(F167),ISBLANK(H167)),IF(OR(D167="ALI",D167="AIE"),"L",IF(ISBLANK(D167),"","A")),IF(D167="EE",IF(H167&gt;=3,IF(F167&gt;=5,"H","A"),IF(H167&gt;=2,IF(F167&gt;=16,"H",IF(F167&lt;=4,"L","A")),IF(F167&lt;=15,"L","A"))),IF(OR(D167="SE",D167="CE"),IF(H167&gt;=4,IF(F167&gt;=6,"H","A"),IF(H167&gt;=2,IF(F167&gt;=20,"H",IF(F167&lt;=5,"L","A")),IF(F167&lt;=19,"L","A"))),IF(OR(D167="ALI",D167="AIE"),IF(H167&gt;=6,IF(F167&gt;=20,"H","A"),IF(H167&gt;=2,IF(F167&gt;=51,"H",IF(F167&lt;=19,"L","A")),IF(F167&lt;=50,"L","A")))))))</f>
        <v/>
      </c>
      <c r="M167" s="20">
        <f>IF(L167="L","Baixa",IF(L167="A","Média",IF(L167="","","Alta")))</f>
        <v/>
      </c>
      <c r="N167" s="21">
        <f>IF(ISBLANK(D167),"",IF(D167="ALI",IF(L167="L",7,IF(L167="A",10,15)),IF(D167="AIE",IF(L167="L",5,IF(L167="A",7,10)),IF(D167="SE",IF(L167="L",4,IF(L167="A",5,7)),IF(OR(D167="EE",D167="CE"),IF(L167="L",3,IF(L167="A",4,6)))))))</f>
        <v/>
      </c>
      <c r="O167" s="59">
        <f>IF(E167&lt;&gt;"",VLOOKUP(E167,$P180:$Q211,2,FALSE),"-")</f>
        <v/>
      </c>
      <c r="P167" s="50">
        <f>IF(OR(E167="Manutenção Interface",E167="Paginas Estáticas"),J167*O167,
IF(OR(D167="",E167=""),"",
N167*O167))</f>
        <v/>
      </c>
      <c r="Q167" s="21" t="n"/>
      <c r="S167" s="69">
        <f>IF(OR(M167="Baixa",E167="Manutenção Interface",E167="Paginas Estáticas"),1,0)</f>
        <v/>
      </c>
      <c r="T167" s="69">
        <f>IF(OR(M167="Média",M167="Alta"),1,0)</f>
        <v/>
      </c>
    </row>
    <row r="168" ht="14.25" customHeight="1" s="30">
      <c r="B168" s="105" t="n"/>
      <c r="C168" s="102" t="n"/>
      <c r="D168" s="19" t="n"/>
      <c r="E168" s="57" t="n"/>
      <c r="F168" s="57" t="n"/>
      <c r="G168" s="57" t="n"/>
      <c r="H168" s="57" t="n"/>
      <c r="I168" s="57" t="n"/>
      <c r="J168" s="57" t="n"/>
      <c r="K168" s="57">
        <f>CONCATENATE(D168,L168)</f>
        <v/>
      </c>
      <c r="L168" s="57">
        <f>IF(OR(ISBLANK(F168),ISBLANK(H168)),IF(OR(D168="ALI",D168="AIE"),"L",IF(ISBLANK(D168),"","A")),IF(D168="EE",IF(H168&gt;=3,IF(F168&gt;=5,"H","A"),IF(H168&gt;=2,IF(F168&gt;=16,"H",IF(F168&lt;=4,"L","A")),IF(F168&lt;=15,"L","A"))),IF(OR(D168="SE",D168="CE"),IF(H168&gt;=4,IF(F168&gt;=6,"H","A"),IF(H168&gt;=2,IF(F168&gt;=20,"H",IF(F168&lt;=5,"L","A")),IF(F168&lt;=19,"L","A"))),IF(OR(D168="ALI",D168="AIE"),IF(H168&gt;=6,IF(F168&gt;=20,"H","A"),IF(H168&gt;=2,IF(F168&gt;=51,"H",IF(F168&lt;=19,"L","A")),IF(F168&lt;=50,"L","A")))))))</f>
        <v/>
      </c>
      <c r="M168" s="20">
        <f>IF(L168="L","Baixa",IF(L168="A","Média",IF(L168="","","Alta")))</f>
        <v/>
      </c>
      <c r="N168" s="21">
        <f>IF(ISBLANK(D168),"",IF(D168="ALI",IF(L168="L",7,IF(L168="A",10,15)),IF(D168="AIE",IF(L168="L",5,IF(L168="A",7,10)),IF(D168="SE",IF(L168="L",4,IF(L168="A",5,7)),IF(OR(D168="EE",D168="CE"),IF(L168="L",3,IF(L168="A",4,6)))))))</f>
        <v/>
      </c>
      <c r="O168" s="59">
        <f>IF(E168&lt;&gt;"",VLOOKUP(E168,$P180:$Q211,2,FALSE),"-")</f>
        <v/>
      </c>
      <c r="P168" s="50">
        <f>IF(OR(E168="Manutenção Interface",E168="Paginas Estáticas"),J168*O168,
IF(OR(D168="",E168=""),"",
N168*O168))</f>
        <v/>
      </c>
      <c r="Q168" s="21" t="n"/>
      <c r="S168" s="69">
        <f>IF(OR(M168="Baixa",E168="Manutenção Interface",E168="Paginas Estáticas"),1,0)</f>
        <v/>
      </c>
      <c r="T168" s="69">
        <f>IF(OR(M168="Média",M168="Alta"),1,0)</f>
        <v/>
      </c>
    </row>
    <row r="169" ht="14.25" customHeight="1" s="30">
      <c r="B169" s="105" t="n"/>
      <c r="C169" s="102" t="n"/>
      <c r="D169" s="19" t="n"/>
      <c r="E169" s="57" t="n"/>
      <c r="F169" s="57" t="n"/>
      <c r="G169" s="57" t="n"/>
      <c r="H169" s="57" t="n"/>
      <c r="I169" s="57" t="n"/>
      <c r="J169" s="57" t="n"/>
      <c r="K169" s="57">
        <f>CONCATENATE(D169,L169)</f>
        <v/>
      </c>
      <c r="L169" s="57">
        <f>IF(OR(ISBLANK(F169),ISBLANK(H169)),IF(OR(D169="ALI",D169="AIE"),"L",IF(ISBLANK(D169),"","A")),IF(D169="EE",IF(H169&gt;=3,IF(F169&gt;=5,"H","A"),IF(H169&gt;=2,IF(F169&gt;=16,"H",IF(F169&lt;=4,"L","A")),IF(F169&lt;=15,"L","A"))),IF(OR(D169="SE",D169="CE"),IF(H169&gt;=4,IF(F169&gt;=6,"H","A"),IF(H169&gt;=2,IF(F169&gt;=20,"H",IF(F169&lt;=5,"L","A")),IF(F169&lt;=19,"L","A"))),IF(OR(D169="ALI",D169="AIE"),IF(H169&gt;=6,IF(F169&gt;=20,"H","A"),IF(H169&gt;=2,IF(F169&gt;=51,"H",IF(F169&lt;=19,"L","A")),IF(F169&lt;=50,"L","A")))))))</f>
        <v/>
      </c>
      <c r="M169" s="20">
        <f>IF(L169="L","Baixa",IF(L169="A","Média",IF(L169="","","Alta")))</f>
        <v/>
      </c>
      <c r="N169" s="21">
        <f>IF(ISBLANK(D169),"",IF(D169="ALI",IF(L169="L",7,IF(L169="A",10,15)),IF(D169="AIE",IF(L169="L",5,IF(L169="A",7,10)),IF(D169="SE",IF(L169="L",4,IF(L169="A",5,7)),IF(OR(D169="EE",D169="CE"),IF(L169="L",3,IF(L169="A",4,6)))))))</f>
        <v/>
      </c>
      <c r="O169" s="59">
        <f>IF(E169&lt;&gt;"",VLOOKUP(E169,$P180:$Q211,2,FALSE),"-")</f>
        <v/>
      </c>
      <c r="P169" s="50">
        <f>IF(OR(E169="Manutenção Interface",E169="Paginas Estáticas"),J169*O169,
IF(OR(D169="",E169=""),"",
N169*O169))</f>
        <v/>
      </c>
      <c r="Q169" s="21" t="n"/>
      <c r="S169" s="69">
        <f>IF(OR(M169="Baixa",E169="Manutenção Interface",E169="Paginas Estáticas"),1,0)</f>
        <v/>
      </c>
      <c r="T169" s="69">
        <f>IF(OR(M169="Média",M169="Alta"),1,0)</f>
        <v/>
      </c>
    </row>
    <row r="170" ht="14.25" customHeight="1" s="30">
      <c r="B170" s="105" t="n"/>
      <c r="C170" s="102" t="n"/>
      <c r="D170" s="19" t="n"/>
      <c r="E170" s="57" t="n"/>
      <c r="F170" s="57" t="n"/>
      <c r="G170" s="57" t="n"/>
      <c r="H170" s="57" t="n"/>
      <c r="I170" s="57" t="n"/>
      <c r="J170" s="57" t="n"/>
      <c r="K170" s="57">
        <f>CONCATENATE(D170,L170)</f>
        <v/>
      </c>
      <c r="L170" s="57">
        <f>IF(OR(ISBLANK(F170),ISBLANK(H170)),IF(OR(D170="ALI",D170="AIE"),"L",IF(ISBLANK(D170),"","A")),IF(D170="EE",IF(H170&gt;=3,IF(F170&gt;=5,"H","A"),IF(H170&gt;=2,IF(F170&gt;=16,"H",IF(F170&lt;=4,"L","A")),IF(F170&lt;=15,"L","A"))),IF(OR(D170="SE",D170="CE"),IF(H170&gt;=4,IF(F170&gt;=6,"H","A"),IF(H170&gt;=2,IF(F170&gt;=20,"H",IF(F170&lt;=5,"L","A")),IF(F170&lt;=19,"L","A"))),IF(OR(D170="ALI",D170="AIE"),IF(H170&gt;=6,IF(F170&gt;=20,"H","A"),IF(H170&gt;=2,IF(F170&gt;=51,"H",IF(F170&lt;=19,"L","A")),IF(F170&lt;=50,"L","A")))))))</f>
        <v/>
      </c>
      <c r="M170" s="20">
        <f>IF(L170="L","Baixa",IF(L170="A","Média",IF(L170="","","Alta")))</f>
        <v/>
      </c>
      <c r="N170" s="21">
        <f>IF(ISBLANK(D170),"",IF(D170="ALI",IF(L170="L",7,IF(L170="A",10,15)),IF(D170="AIE",IF(L170="L",5,IF(L170="A",7,10)),IF(D170="SE",IF(L170="L",4,IF(L170="A",5,7)),IF(OR(D170="EE",D170="CE"),IF(L170="L",3,IF(L170="A",4,6)))))))</f>
        <v/>
      </c>
      <c r="O170" s="59">
        <f>IF(E170&lt;&gt;"",VLOOKUP(E170,$P180:$Q211,2,FALSE),"-")</f>
        <v/>
      </c>
      <c r="P170" s="50">
        <f>IF(OR(E170="Manutenção Interface",E170="Paginas Estáticas"),J170*O170,
IF(OR(D170="",E170=""),"",
N170*O170))</f>
        <v/>
      </c>
      <c r="Q170" s="21" t="n"/>
      <c r="S170" s="69">
        <f>IF(OR(M170="Baixa",E170="Manutenção Interface",E170="Paginas Estáticas"),1,0)</f>
        <v/>
      </c>
      <c r="T170" s="69">
        <f>IF(OR(M170="Média",M170="Alta"),1,0)</f>
        <v/>
      </c>
    </row>
    <row r="171" ht="14.25" customHeight="1" s="30">
      <c r="B171" s="105" t="n"/>
      <c r="C171" s="102" t="n"/>
      <c r="D171" s="19" t="n"/>
      <c r="E171" s="57" t="n"/>
      <c r="F171" s="57" t="n"/>
      <c r="G171" s="57" t="n"/>
      <c r="H171" s="57" t="n"/>
      <c r="I171" s="57" t="n"/>
      <c r="J171" s="57" t="n"/>
      <c r="K171" s="57">
        <f>CONCATENATE(D171,L171)</f>
        <v/>
      </c>
      <c r="L171" s="57">
        <f>IF(OR(ISBLANK(F171),ISBLANK(H171)),IF(OR(D171="ALI",D171="AIE"),"L",IF(ISBLANK(D171),"","A")),IF(D171="EE",IF(H171&gt;=3,IF(F171&gt;=5,"H","A"),IF(H171&gt;=2,IF(F171&gt;=16,"H",IF(F171&lt;=4,"L","A")),IF(F171&lt;=15,"L","A"))),IF(OR(D171="SE",D171="CE"),IF(H171&gt;=4,IF(F171&gt;=6,"H","A"),IF(H171&gt;=2,IF(F171&gt;=20,"H",IF(F171&lt;=5,"L","A")),IF(F171&lt;=19,"L","A"))),IF(OR(D171="ALI",D171="AIE"),IF(H171&gt;=6,IF(F171&gt;=20,"H","A"),IF(H171&gt;=2,IF(F171&gt;=51,"H",IF(F171&lt;=19,"L","A")),IF(F171&lt;=50,"L","A")))))))</f>
        <v/>
      </c>
      <c r="M171" s="20">
        <f>IF(L171="L","Baixa",IF(L171="A","Média",IF(L171="","","Alta")))</f>
        <v/>
      </c>
      <c r="N171" s="21">
        <f>IF(ISBLANK(D171),"",IF(D171="ALI",IF(L171="L",7,IF(L171="A",10,15)),IF(D171="AIE",IF(L171="L",5,IF(L171="A",7,10)),IF(D171="SE",IF(L171="L",4,IF(L171="A",5,7)),IF(OR(D171="EE",D171="CE"),IF(L171="L",3,IF(L171="A",4,6)))))))</f>
        <v/>
      </c>
      <c r="O171" s="59">
        <f>IF(E171&lt;&gt;"",VLOOKUP(E171,$P180:$Q211,2,FALSE),"-")</f>
        <v/>
      </c>
      <c r="P171" s="50">
        <f>IF(OR(E171="Manutenção Interface",E171="Paginas Estáticas"),J171*O171,
IF(OR(D171="",E171=""),"",
N171*O171))</f>
        <v/>
      </c>
      <c r="Q171" s="21" t="n"/>
      <c r="S171" s="69">
        <f>IF(OR(M171="Baixa",E171="Manutenção Interface",E171="Paginas Estáticas"),1,0)</f>
        <v/>
      </c>
      <c r="T171" s="69">
        <f>IF(OR(M171="Média",M171="Alta"),1,0)</f>
        <v/>
      </c>
    </row>
    <row r="172" ht="14.25" customHeight="1" s="30">
      <c r="B172" s="105" t="n"/>
      <c r="C172" s="102" t="n"/>
      <c r="D172" s="19" t="n"/>
      <c r="E172" s="57" t="n"/>
      <c r="F172" s="57" t="n"/>
      <c r="G172" s="57" t="n"/>
      <c r="H172" s="57" t="n"/>
      <c r="I172" s="57" t="n"/>
      <c r="J172" s="57" t="n"/>
      <c r="K172" s="57">
        <f>CONCATENATE(D172,L172)</f>
        <v/>
      </c>
      <c r="L172" s="57">
        <f>IF(OR(ISBLANK(F172),ISBLANK(H172)),IF(OR(D172="ALI",D172="AIE"),"L",IF(ISBLANK(D172),"","A")),IF(D172="EE",IF(H172&gt;=3,IF(F172&gt;=5,"H","A"),IF(H172&gt;=2,IF(F172&gt;=16,"H",IF(F172&lt;=4,"L","A")),IF(F172&lt;=15,"L","A"))),IF(OR(D172="SE",D172="CE"),IF(H172&gt;=4,IF(F172&gt;=6,"H","A"),IF(H172&gt;=2,IF(F172&gt;=20,"H",IF(F172&lt;=5,"L","A")),IF(F172&lt;=19,"L","A"))),IF(OR(D172="ALI",D172="AIE"),IF(H172&gt;=6,IF(F172&gt;=20,"H","A"),IF(H172&gt;=2,IF(F172&gt;=51,"H",IF(F172&lt;=19,"L","A")),IF(F172&lt;=50,"L","A")))))))</f>
        <v/>
      </c>
      <c r="M172" s="20">
        <f>IF(L172="L","Baixa",IF(L172="A","Média",IF(L172="","","Alta")))</f>
        <v/>
      </c>
      <c r="N172" s="21">
        <f>IF(ISBLANK(D172),"",IF(D172="ALI",IF(L172="L",7,IF(L172="A",10,15)),IF(D172="AIE",IF(L172="L",5,IF(L172="A",7,10)),IF(D172="SE",IF(L172="L",4,IF(L172="A",5,7)),IF(OR(D172="EE",D172="CE"),IF(L172="L",3,IF(L172="A",4,6)))))))</f>
        <v/>
      </c>
      <c r="O172" s="59">
        <f>IF(E172&lt;&gt;"",VLOOKUP(E172,$P180:$Q211,2,FALSE),"-")</f>
        <v/>
      </c>
      <c r="P172" s="50">
        <f>IF(OR(E172="Manutenção Interface",E172="Paginas Estáticas"),J172*O172,
IF(OR(D172="",E172=""),"",
N172*O172))</f>
        <v/>
      </c>
      <c r="Q172" s="21" t="n"/>
      <c r="S172" s="69">
        <f>IF(OR(M172="Baixa",E172="Manutenção Interface",E172="Paginas Estáticas"),1,0)</f>
        <v/>
      </c>
      <c r="T172" s="69">
        <f>IF(OR(M172="Média",M172="Alta"),1,0)</f>
        <v/>
      </c>
    </row>
    <row r="173" ht="14.25" customHeight="1" s="30">
      <c r="B173" s="105" t="n"/>
      <c r="C173" s="102" t="n"/>
      <c r="D173" s="19" t="n"/>
      <c r="E173" s="57" t="n"/>
      <c r="F173" s="57" t="n"/>
      <c r="G173" s="57" t="n"/>
      <c r="H173" s="57" t="n"/>
      <c r="I173" s="57" t="n"/>
      <c r="J173" s="57" t="n"/>
      <c r="K173" s="57">
        <f>CONCATENATE(D173,L173)</f>
        <v/>
      </c>
      <c r="L173" s="57">
        <f>IF(OR(ISBLANK(F173),ISBLANK(H173)),IF(OR(D173="ALI",D173="AIE"),"L",IF(ISBLANK(D173),"","A")),IF(D173="EE",IF(H173&gt;=3,IF(F173&gt;=5,"H","A"),IF(H173&gt;=2,IF(F173&gt;=16,"H",IF(F173&lt;=4,"L","A")),IF(F173&lt;=15,"L","A"))),IF(OR(D173="SE",D173="CE"),IF(H173&gt;=4,IF(F173&gt;=6,"H","A"),IF(H173&gt;=2,IF(F173&gt;=20,"H",IF(F173&lt;=5,"L","A")),IF(F173&lt;=19,"L","A"))),IF(OR(D173="ALI",D173="AIE"),IF(H173&gt;=6,IF(F173&gt;=20,"H","A"),IF(H173&gt;=2,IF(F173&gt;=51,"H",IF(F173&lt;=19,"L","A")),IF(F173&lt;=50,"L","A")))))))</f>
        <v/>
      </c>
      <c r="M173" s="20">
        <f>IF(L173="L","Baixa",IF(L173="A","Média",IF(L173="","","Alta")))</f>
        <v/>
      </c>
      <c r="N173" s="21">
        <f>IF(ISBLANK(D173),"",IF(D173="ALI",IF(L173="L",7,IF(L173="A",10,15)),IF(D173="AIE",IF(L173="L",5,IF(L173="A",7,10)),IF(D173="SE",IF(L173="L",4,IF(L173="A",5,7)),IF(OR(D173="EE",D173="CE"),IF(L173="L",3,IF(L173="A",4,6)))))))</f>
        <v/>
      </c>
      <c r="O173" s="59">
        <f>IF(E173&lt;&gt;"",VLOOKUP(E173,$P180:$Q211,2,FALSE),"-")</f>
        <v/>
      </c>
      <c r="P173" s="50">
        <f>IF(OR(E173="Manutenção Interface",E173="Paginas Estáticas"),J173*O173,
IF(OR(D173="",E173=""),"",
N173*O173))</f>
        <v/>
      </c>
      <c r="Q173" s="21" t="n"/>
      <c r="S173" s="69">
        <f>IF(OR(M173="Baixa",E173="Manutenção Interface",E173="Paginas Estáticas"),1,0)</f>
        <v/>
      </c>
      <c r="T173" s="69">
        <f>IF(OR(M173="Média",M173="Alta"),1,0)</f>
        <v/>
      </c>
    </row>
    <row r="174" ht="14.25" customHeight="1" s="30">
      <c r="B174" s="105" t="n"/>
      <c r="C174" s="102" t="n"/>
      <c r="D174" s="19" t="n"/>
      <c r="E174" s="57" t="n"/>
      <c r="F174" s="57" t="n"/>
      <c r="G174" s="57" t="n"/>
      <c r="H174" s="57" t="n"/>
      <c r="I174" s="57" t="n"/>
      <c r="J174" s="57" t="n"/>
      <c r="K174" s="57">
        <f>CONCATENATE(D174,L174)</f>
        <v/>
      </c>
      <c r="L174" s="57">
        <f>IF(OR(ISBLANK(F174),ISBLANK(H174)),IF(OR(D174="ALI",D174="AIE"),"L",IF(ISBLANK(D174),"","A")),IF(D174="EE",IF(H174&gt;=3,IF(F174&gt;=5,"H","A"),IF(H174&gt;=2,IF(F174&gt;=16,"H",IF(F174&lt;=4,"L","A")),IF(F174&lt;=15,"L","A"))),IF(OR(D174="SE",D174="CE"),IF(H174&gt;=4,IF(F174&gt;=6,"H","A"),IF(H174&gt;=2,IF(F174&gt;=20,"H",IF(F174&lt;=5,"L","A")),IF(F174&lt;=19,"L","A"))),IF(OR(D174="ALI",D174="AIE"),IF(H174&gt;=6,IF(F174&gt;=20,"H","A"),IF(H174&gt;=2,IF(F174&gt;=51,"H",IF(F174&lt;=19,"L","A")),IF(F174&lt;=50,"L","A")))))))</f>
        <v/>
      </c>
      <c r="M174" s="20">
        <f>IF(L174="L","Baixa",IF(L174="A","Média",IF(L174="","","Alta")))</f>
        <v/>
      </c>
      <c r="N174" s="21">
        <f>IF(ISBLANK(D174),"",IF(D174="ALI",IF(L174="L",7,IF(L174="A",10,15)),IF(D174="AIE",IF(L174="L",5,IF(L174="A",7,10)),IF(D174="SE",IF(L174="L",4,IF(L174="A",5,7)),IF(OR(D174="EE",D174="CE"),IF(L174="L",3,IF(L174="A",4,6)))))))</f>
        <v/>
      </c>
      <c r="O174" s="59">
        <f>IF(E174&lt;&gt;"",VLOOKUP(E174,$P180:$Q211,2,FALSE),"-")</f>
        <v/>
      </c>
      <c r="P174" s="50">
        <f>IF(OR(E174="Manutenção Interface",E174="Paginas Estáticas"),J174*O174,
IF(OR(D174="",E174=""),"",
N174*O174))</f>
        <v/>
      </c>
      <c r="Q174" s="21" t="n"/>
      <c r="S174" s="69">
        <f>IF(OR(M174="Baixa",E174="Manutenção Interface",E174="Paginas Estáticas"),1,0)</f>
        <v/>
      </c>
      <c r="T174" s="69">
        <f>IF(OR(M174="Média",M174="Alta"),1,0)</f>
        <v/>
      </c>
    </row>
    <row r="175" ht="14.25" customHeight="1" s="30">
      <c r="B175" s="105" t="n"/>
      <c r="C175" s="102" t="n"/>
      <c r="D175" s="19" t="n"/>
      <c r="E175" s="57" t="n"/>
      <c r="F175" s="57" t="n"/>
      <c r="G175" s="57" t="n"/>
      <c r="H175" s="57" t="n"/>
      <c r="I175" s="57" t="n"/>
      <c r="J175" s="57" t="n"/>
      <c r="K175" s="57">
        <f>CONCATENATE(D175,L175)</f>
        <v/>
      </c>
      <c r="L175" s="57">
        <f>IF(OR(ISBLANK(F175),ISBLANK(H175)),IF(OR(D175="ALI",D175="AIE"),"L",IF(ISBLANK(D175),"","A")),IF(D175="EE",IF(H175&gt;=3,IF(F175&gt;=5,"H","A"),IF(H175&gt;=2,IF(F175&gt;=16,"H",IF(F175&lt;=4,"L","A")),IF(F175&lt;=15,"L","A"))),IF(OR(D175="SE",D175="CE"),IF(H175&gt;=4,IF(F175&gt;=6,"H","A"),IF(H175&gt;=2,IF(F175&gt;=20,"H",IF(F175&lt;=5,"L","A")),IF(F175&lt;=19,"L","A"))),IF(OR(D175="ALI",D175="AIE"),IF(H175&gt;=6,IF(F175&gt;=20,"H","A"),IF(H175&gt;=2,IF(F175&gt;=51,"H",IF(F175&lt;=19,"L","A")),IF(F175&lt;=50,"L","A")))))))</f>
        <v/>
      </c>
      <c r="M175" s="20">
        <f>IF(L175="L","Baixa",IF(L175="A","Média",IF(L175="","","Alta")))</f>
        <v/>
      </c>
      <c r="N175" s="21">
        <f>IF(ISBLANK(D175),"",IF(D175="ALI",IF(L175="L",7,IF(L175="A",10,15)),IF(D175="AIE",IF(L175="L",5,IF(L175="A",7,10)),IF(D175="SE",IF(L175="L",4,IF(L175="A",5,7)),IF(OR(D175="EE",D175="CE"),IF(L175="L",3,IF(L175="A",4,6)))))))</f>
        <v/>
      </c>
      <c r="O175" s="59">
        <f>IF(E175&lt;&gt;"",VLOOKUP(E175,$P180:$Q211,2,FALSE),"-")</f>
        <v/>
      </c>
      <c r="P175" s="50">
        <f>IF(OR(E175="Manutenção Interface",E175="Paginas Estáticas"),J175*O175,
IF(OR(D175="",E175=""),"",
N175*O175))</f>
        <v/>
      </c>
      <c r="Q175" s="21" t="n"/>
      <c r="S175" s="69">
        <f>IF(OR(M175="Baixa",E175="Manutenção Interface",E175="Paginas Estáticas"),1,0)</f>
        <v/>
      </c>
      <c r="T175" s="69">
        <f>IF(OR(M175="Média",M175="Alta"),1,0)</f>
        <v/>
      </c>
    </row>
    <row r="176" ht="14.25" customHeight="1" s="30">
      <c r="B176" s="105" t="n"/>
      <c r="C176" s="102" t="n"/>
      <c r="D176" s="19" t="n"/>
      <c r="E176" s="57" t="n"/>
      <c r="F176" s="57" t="n"/>
      <c r="G176" s="57" t="n"/>
      <c r="H176" s="57" t="n"/>
      <c r="I176" s="57" t="n"/>
      <c r="J176" s="57" t="n"/>
      <c r="K176" s="57">
        <f>CONCATENATE(D176,L176)</f>
        <v/>
      </c>
      <c r="L176" s="57">
        <f>IF(OR(ISBLANK(F176),ISBLANK(H176)),IF(OR(D176="ALI",D176="AIE"),"L",IF(ISBLANK(D176),"","A")),IF(D176="EE",IF(H176&gt;=3,IF(F176&gt;=5,"H","A"),IF(H176&gt;=2,IF(F176&gt;=16,"H",IF(F176&lt;=4,"L","A")),IF(F176&lt;=15,"L","A"))),IF(OR(D176="SE",D176="CE"),IF(H176&gt;=4,IF(F176&gt;=6,"H","A"),IF(H176&gt;=2,IF(F176&gt;=20,"H",IF(F176&lt;=5,"L","A")),IF(F176&lt;=19,"L","A"))),IF(OR(D176="ALI",D176="AIE"),IF(H176&gt;=6,IF(F176&gt;=20,"H","A"),IF(H176&gt;=2,IF(F176&gt;=51,"H",IF(F176&lt;=19,"L","A")),IF(F176&lt;=50,"L","A")))))))</f>
        <v/>
      </c>
      <c r="M176" s="20">
        <f>IF(L176="L","Baixa",IF(L176="A","Média",IF(L176="","","Alta")))</f>
        <v/>
      </c>
      <c r="N176" s="21">
        <f>IF(ISBLANK(D176),"",IF(D176="ALI",IF(L176="L",7,IF(L176="A",10,15)),IF(D176="AIE",IF(L176="L",5,IF(L176="A",7,10)),IF(D176="SE",IF(L176="L",4,IF(L176="A",5,7)),IF(OR(D176="EE",D176="CE"),IF(L176="L",3,IF(L176="A",4,6)))))))</f>
        <v/>
      </c>
      <c r="O176" s="59">
        <f>IF(E176&lt;&gt;"",VLOOKUP(E176,$P180:$Q211,2,FALSE),"-")</f>
        <v/>
      </c>
      <c r="P176" s="50">
        <f>IF(OR(E176="Manutenção Interface",E176="Paginas Estáticas"),J176*O176,
IF(OR(D176="",E176=""),"",
N176*O176))</f>
        <v/>
      </c>
      <c r="Q176" s="21" t="n"/>
      <c r="S176" s="69">
        <f>IF(OR(M176="Baixa",E176="Manutenção Interface",E176="Paginas Estáticas"),1,0)</f>
        <v/>
      </c>
      <c r="T176" s="69">
        <f>IF(OR(M176="Média",M176="Alta"),1,0)</f>
        <v/>
      </c>
    </row>
    <row r="177" ht="14.25" customHeight="1" s="30">
      <c r="B177" s="105" t="n"/>
      <c r="C177" s="102" t="n"/>
      <c r="D177" s="19" t="n"/>
      <c r="E177" s="57" t="n"/>
      <c r="F177" s="57" t="n"/>
      <c r="G177" s="57" t="n"/>
      <c r="H177" s="57" t="n"/>
      <c r="I177" s="57" t="n"/>
      <c r="J177" s="57" t="n"/>
      <c r="K177" s="57">
        <f>CONCATENATE(D177,L177)</f>
        <v/>
      </c>
      <c r="L177" s="57">
        <f>IF(OR(ISBLANK(F177),ISBLANK(H177)),IF(OR(D177="ALI",D177="AIE"),"L",IF(ISBLANK(D177),"","A")),IF(D177="EE",IF(H177&gt;=3,IF(F177&gt;=5,"H","A"),IF(H177&gt;=2,IF(F177&gt;=16,"H",IF(F177&lt;=4,"L","A")),IF(F177&lt;=15,"L","A"))),IF(OR(D177="SE",D177="CE"),IF(H177&gt;=4,IF(F177&gt;=6,"H","A"),IF(H177&gt;=2,IF(F177&gt;=20,"H",IF(F177&lt;=5,"L","A")),IF(F177&lt;=19,"L","A"))),IF(OR(D177="ALI",D177="AIE"),IF(H177&gt;=6,IF(F177&gt;=20,"H","A"),IF(H177&gt;=2,IF(F177&gt;=51,"H",IF(F177&lt;=19,"L","A")),IF(F177&lt;=50,"L","A")))))))</f>
        <v/>
      </c>
      <c r="M177" s="20">
        <f>IF(L177="L","Baixa",IF(L177="A","Média",IF(L177="","","Alta")))</f>
        <v/>
      </c>
      <c r="N177" s="21">
        <f>IF(ISBLANK(D177),"",IF(D177="ALI",IF(L177="L",7,IF(L177="A",10,15)),IF(D177="AIE",IF(L177="L",5,IF(L177="A",7,10)),IF(D177="SE",IF(L177="L",4,IF(L177="A",5,7)),IF(OR(D177="EE",D177="CE"),IF(L177="L",3,IF(L177="A",4,6)))))))</f>
        <v/>
      </c>
      <c r="O177" s="59">
        <f>IF(E177&lt;&gt;"",VLOOKUP(E177,$P180:$Q211,2,FALSE),"-")</f>
        <v/>
      </c>
      <c r="P177" s="50">
        <f>IF(OR(E177="Manutenção Interface",E177="Paginas Estáticas"),J177*O177,
IF(OR(D177="",E177=""),"",
N177*O177))</f>
        <v/>
      </c>
      <c r="Q177" s="21" t="n"/>
      <c r="S177" s="69">
        <f>IF(OR(M177="Baixa",E177="Manutenção Interface",E177="Paginas Estáticas"),1,0)</f>
        <v/>
      </c>
      <c r="T177" s="69">
        <f>IF(OR(M177="Média",M177="Alta"),1,0)</f>
        <v/>
      </c>
    </row>
    <row r="178" ht="14.25" customHeight="1" s="30">
      <c r="B178" s="105" t="n"/>
      <c r="C178" s="102" t="n"/>
      <c r="D178" s="19" t="n"/>
      <c r="E178" s="57" t="n"/>
      <c r="F178" s="57" t="n"/>
      <c r="G178" s="57" t="n"/>
      <c r="H178" s="57" t="n"/>
      <c r="I178" s="57" t="n"/>
      <c r="J178" s="57" t="n"/>
      <c r="K178" s="57">
        <f>CONCATENATE(D178,L178)</f>
        <v/>
      </c>
      <c r="L178" s="57">
        <f>IF(OR(ISBLANK(F178),ISBLANK(H178)),IF(OR(D178="ALI",D178="AIE"),"L",IF(ISBLANK(D178),"","A")),IF(D178="EE",IF(H178&gt;=3,IF(F178&gt;=5,"H","A"),IF(H178&gt;=2,IF(F178&gt;=16,"H",IF(F178&lt;=4,"L","A")),IF(F178&lt;=15,"L","A"))),IF(OR(D178="SE",D178="CE"),IF(H178&gt;=4,IF(F178&gt;=6,"H","A"),IF(H178&gt;=2,IF(F178&gt;=20,"H",IF(F178&lt;=5,"L","A")),IF(F178&lt;=19,"L","A"))),IF(OR(D178="ALI",D178="AIE"),IF(H178&gt;=6,IF(F178&gt;=20,"H","A"),IF(H178&gt;=2,IF(F178&gt;=51,"H",IF(F178&lt;=19,"L","A")),IF(F178&lt;=50,"L","A")))))))</f>
        <v/>
      </c>
      <c r="M178" s="20">
        <f>IF(L178="L","Baixa",IF(L178="A","Média",IF(L178="","","Alta")))</f>
        <v/>
      </c>
      <c r="N178" s="21">
        <f>IF(ISBLANK(D178),"",IF(D178="ALI",IF(L178="L",7,IF(L178="A",10,15)),IF(D178="AIE",IF(L178="L",5,IF(L178="A",7,10)),IF(D178="SE",IF(L178="L",4,IF(L178="A",5,7)),IF(OR(D178="EE",D178="CE"),IF(L178="L",3,IF(L178="A",4,6)))))))</f>
        <v/>
      </c>
      <c r="O178" s="59">
        <f>IF(E178&lt;&gt;"",VLOOKUP(E178,$P180:$Q211,2,FALSE),"-")</f>
        <v/>
      </c>
      <c r="P178" s="50">
        <f>IF(OR(E178="Manutenção Interface",E178="Paginas Estáticas"),J178*O178,
IF(OR(D178="",E178=""),"",
N178*O178))</f>
        <v/>
      </c>
      <c r="Q178" s="21" t="n"/>
      <c r="S178" s="69">
        <f>IF(OR(M178="Baixa",E178="Manutenção Interface",E178="Paginas Estáticas"),1,0)</f>
        <v/>
      </c>
      <c r="T178" s="69">
        <f>IF(OR(M178="Média",M178="Alta"),1,0)</f>
        <v/>
      </c>
    </row>
    <row r="180" hidden="1" ht="15" customHeight="1" s="30">
      <c r="P180" s="50" t="inlineStr">
        <is>
          <t>I</t>
        </is>
      </c>
      <c r="Q180" s="50" t="n">
        <v>1</v>
      </c>
    </row>
    <row r="181" hidden="1" ht="15" customHeight="1" s="30">
      <c r="P181" s="50" t="inlineStr">
        <is>
          <t>A</t>
        </is>
      </c>
      <c r="Q181" s="50" t="n">
        <v>0.5</v>
      </c>
    </row>
    <row r="182" hidden="1" ht="15" customHeight="1" s="30">
      <c r="P182" s="50" t="inlineStr">
        <is>
          <t>E</t>
        </is>
      </c>
      <c r="Q182" s="50" t="n">
        <v>0.3</v>
      </c>
    </row>
    <row r="183" hidden="1" ht="15" customHeight="1" s="30">
      <c r="P183" s="50" t="inlineStr">
        <is>
          <t>T</t>
        </is>
      </c>
      <c r="Q183" s="50" t="n">
        <v>0.2</v>
      </c>
    </row>
    <row r="184" hidden="1" ht="15" customHeight="1" s="30">
      <c r="P184" s="52" t="inlineStr">
        <is>
          <t>Migração de Dados</t>
        </is>
      </c>
      <c r="Q184" s="63" t="n">
        <v>1</v>
      </c>
    </row>
    <row r="185" hidden="1" ht="15" customHeight="1" s="30">
      <c r="P185" s="51" t="inlineStr">
        <is>
          <t>Manutenção Corretiva - 50</t>
        </is>
      </c>
      <c r="Q185" s="64" t="n">
        <v>0.5</v>
      </c>
    </row>
    <row r="186" hidden="1" ht="15" customHeight="1" s="30">
      <c r="P186" s="52" t="inlineStr">
        <is>
          <t>Manutenção Corretiva - 75</t>
        </is>
      </c>
      <c r="Q186" s="63" t="n">
        <v>0.75</v>
      </c>
    </row>
    <row r="187" hidden="1" ht="15" customHeight="1" s="30">
      <c r="P187" s="51" t="inlineStr">
        <is>
          <t>MP - Linguagem Programação</t>
        </is>
      </c>
      <c r="Q187" s="64" t="n">
        <v>1</v>
      </c>
    </row>
    <row r="188" hidden="1" ht="15" customHeight="1" s="30">
      <c r="P188" s="52" t="inlineStr">
        <is>
          <t>MP - Banco de Dados</t>
        </is>
      </c>
      <c r="Q188" s="63" t="n">
        <v>0.3</v>
      </c>
    </row>
    <row r="189" hidden="1" ht="15" customHeight="1" s="30">
      <c r="P189" s="51" t="inlineStr">
        <is>
          <t>AV - Linguagem Programação</t>
        </is>
      </c>
      <c r="Q189" s="64" t="n">
        <v>0.3</v>
      </c>
    </row>
    <row r="190" hidden="1" ht="15" customHeight="1" s="30">
      <c r="P190" s="52" t="inlineStr">
        <is>
          <t>AV - Browser</t>
        </is>
      </c>
      <c r="Q190" s="63" t="n">
        <v>0.3</v>
      </c>
    </row>
    <row r="191" hidden="1" ht="15" customHeight="1" s="30">
      <c r="P191" s="51" t="inlineStr">
        <is>
          <t>AV - Banco de Dados</t>
        </is>
      </c>
      <c r="Q191" s="64" t="n">
        <v>0.3</v>
      </c>
    </row>
    <row r="192" hidden="1" ht="15" customHeight="1" s="30">
      <c r="P192" s="52" t="inlineStr">
        <is>
          <t>Manutenção Interface</t>
        </is>
      </c>
      <c r="Q192" s="63" t="n">
        <v>0.6</v>
      </c>
    </row>
    <row r="193" hidden="1" ht="15" customHeight="1" s="30">
      <c r="P193" s="51" t="inlineStr">
        <is>
          <t>Manutenção Adaptativa - 50</t>
        </is>
      </c>
      <c r="Q193" s="64" t="n">
        <v>0.5</v>
      </c>
    </row>
    <row r="194" hidden="1" ht="15" customHeight="1" s="30">
      <c r="P194" s="52" t="inlineStr">
        <is>
          <t>Manutenção Adaptativa - 75</t>
        </is>
      </c>
      <c r="Q194" s="63" t="n">
        <v>0.75</v>
      </c>
    </row>
    <row r="195" hidden="1" ht="15" customHeight="1" s="30">
      <c r="P195" s="51" t="inlineStr">
        <is>
          <t>Apuração Especial</t>
        </is>
      </c>
      <c r="Q195" s="64" t="n">
        <v>1</v>
      </c>
    </row>
    <row r="196" hidden="1" ht="15" customHeight="1" s="30">
      <c r="P196" s="52" t="inlineStr">
        <is>
          <t>Apuração Especial - Relatório</t>
        </is>
      </c>
      <c r="Q196" s="63" t="n">
        <v>1</v>
      </c>
    </row>
    <row r="197" hidden="1" ht="15" customHeight="1" s="30">
      <c r="P197" s="51" t="inlineStr">
        <is>
          <t>Apuração Especial - Reexecução</t>
        </is>
      </c>
      <c r="Q197" s="64" t="n">
        <v>0.1</v>
      </c>
    </row>
    <row r="198" hidden="1" ht="15" customHeight="1" s="30">
      <c r="P198" s="52" t="inlineStr">
        <is>
          <t>Atualização de Dados</t>
        </is>
      </c>
      <c r="Q198" s="63" t="n">
        <v>0.1</v>
      </c>
    </row>
    <row r="199" hidden="1" ht="15" customHeight="1" s="30">
      <c r="P199" s="51" t="inlineStr">
        <is>
          <t>Paginas Estáticas</t>
        </is>
      </c>
      <c r="Q199" s="64" t="n">
        <v>0.6</v>
      </c>
    </row>
    <row r="200" hidden="1" ht="15" customHeight="1" s="30">
      <c r="P200" s="52" t="inlineStr">
        <is>
          <t>Manutenção de Documentação</t>
        </is>
      </c>
      <c r="Q200" s="63" t="n">
        <v>0.25</v>
      </c>
    </row>
    <row r="201" hidden="1" ht="15" customHeight="1" s="30">
      <c r="P201" s="51" t="inlineStr">
        <is>
          <t>Verificação de Erro</t>
        </is>
      </c>
      <c r="Q201" s="64" t="n">
        <v>0.2</v>
      </c>
    </row>
    <row r="202" hidden="1" ht="15" customHeight="1" s="30">
      <c r="P202" s="52" t="inlineStr">
        <is>
          <t>Ponto de Função de Teste</t>
        </is>
      </c>
      <c r="Q202" s="63" t="n">
        <v>0.15</v>
      </c>
    </row>
    <row r="203" hidden="1" ht="15" customHeight="1" s="30">
      <c r="P203" s="51" t="inlineStr">
        <is>
          <t>Componente Interno</t>
        </is>
      </c>
      <c r="Q203" s="64" t="n">
        <v>1</v>
      </c>
    </row>
    <row r="204" hidden="1" ht="15" customHeight="1" s="30">
      <c r="P204" s="52" t="inlineStr">
        <is>
          <t>Componente Interno - Configuração</t>
        </is>
      </c>
      <c r="Q204" s="63" t="n">
        <v>0.2</v>
      </c>
    </row>
    <row r="205" hidden="1" ht="15" customHeight="1" s="30">
      <c r="P205" s="51" t="n"/>
      <c r="Q205" s="64" t="n"/>
    </row>
    <row r="206" hidden="1" ht="15" customHeight="1" s="30">
      <c r="P206" s="52" t="n"/>
      <c r="Q206" s="63" t="n"/>
    </row>
    <row r="207" hidden="1" ht="15" customHeight="1" s="30">
      <c r="P207" s="51" t="n"/>
      <c r="Q207" s="64" t="n"/>
    </row>
    <row r="208" hidden="1" ht="15" customHeight="1" s="30">
      <c r="P208" s="52" t="n"/>
      <c r="Q208" s="63" t="n"/>
    </row>
    <row r="209" hidden="1" ht="15" customHeight="1" s="30">
      <c r="P209" s="51" t="n"/>
      <c r="Q209" s="64" t="n"/>
    </row>
    <row r="210" hidden="1" ht="15" customHeight="1" s="30">
      <c r="P210" s="52" t="n"/>
      <c r="Q210" s="63" t="n"/>
    </row>
    <row r="211" hidden="1" ht="15" customHeight="1" s="30">
      <c r="P211" s="51" t="n"/>
      <c r="Q211" s="64" t="n"/>
    </row>
    <row r="212" hidden="1" ht="15" customHeight="1" s="30">
      <c r="P212" s="52" t="n"/>
      <c r="Q212" s="63" t="n"/>
    </row>
    <row r="213" hidden="1" ht="15" customHeight="1" s="30">
      <c r="P213" s="51" t="n"/>
      <c r="Q213" s="64" t="n"/>
    </row>
    <row r="214" hidden="1" ht="15" customHeight="1" s="30">
      <c r="P214" s="52" t="n"/>
      <c r="Q214" s="63" t="n"/>
    </row>
    <row r="215" hidden="1" ht="15" customHeight="1" s="30">
      <c r="P215" s="51" t="n"/>
      <c r="Q215" s="64" t="n"/>
    </row>
    <row r="216" hidden="1" ht="15" customHeight="1" s="30">
      <c r="P216" s="52" t="n"/>
      <c r="Q216" s="63" t="n"/>
    </row>
    <row r="65310" ht="12.75" customHeight="1" s="30"/>
    <row r="65311" ht="12.75" customHeight="1" s="30"/>
    <row r="65312" ht="12.75" customHeight="1" s="30"/>
    <row r="65313" ht="12.75" customHeight="1" s="30"/>
    <row r="65314" ht="12.75" customHeight="1" s="30"/>
    <row r="65315" ht="12.75" customHeight="1" s="30"/>
    <row r="65316" ht="12.75" customHeight="1" s="30"/>
    <row r="65317" ht="12.75" customHeight="1" s="30"/>
    <row r="65318" ht="12.75" customHeight="1" s="30"/>
    <row r="65319" ht="12.75" customHeight="1" s="30"/>
    <row r="65320" ht="12.75" customHeight="1" s="30"/>
    <row r="65321" ht="12.75" customHeight="1" s="30"/>
    <row r="65322" ht="12.75" customHeight="1" s="30"/>
    <row r="65323" ht="12.75" customHeight="1" s="30"/>
    <row r="65324" ht="12.75" customHeight="1" s="30"/>
    <row r="65325" ht="12.75" customHeight="1" s="30"/>
    <row r="65326" ht="12.75" customHeight="1" s="30"/>
    <row r="65327" ht="12.75" customHeight="1" s="30"/>
    <row r="65328" ht="12.75" customHeight="1" s="30"/>
    <row r="65329" ht="12.75" customHeight="1" s="30"/>
    <row r="65330" ht="12.75" customHeight="1" s="30"/>
    <row r="65331" ht="12.75" customHeight="1" s="30"/>
    <row r="65332" ht="12.75" customHeight="1" s="30"/>
    <row r="65333" ht="12.75" customHeight="1" s="30"/>
    <row r="65334" ht="12.75" customHeight="1" s="30"/>
    <row r="65335" ht="12.75" customHeight="1" s="30"/>
    <row r="65336" ht="12.75" customHeight="1" s="30"/>
    <row r="65337" ht="12.75" customHeight="1" s="30"/>
    <row r="65338" ht="12.75" customHeight="1" s="30"/>
    <row r="65339" ht="12.75" customHeight="1" s="30"/>
    <row r="65340" ht="12.75" customHeight="1" s="30"/>
    <row r="65341" ht="12.75" customHeight="1" s="30"/>
    <row r="65342" ht="12.75" customHeight="1" s="30"/>
    <row r="65343" ht="12.75" customHeight="1" s="30"/>
    <row r="65344" ht="12.75" customHeight="1" s="30"/>
    <row r="65345" ht="12.75" customHeight="1" s="30"/>
    <row r="65346" ht="12.75" customHeight="1" s="30"/>
    <row r="65347" ht="12.75" customHeight="1" s="30"/>
    <row r="65348" ht="12.75" customHeight="1" s="30"/>
    <row r="65349" ht="12.75" customHeight="1" s="30"/>
    <row r="65350" ht="12.75" customHeight="1" s="30"/>
    <row r="65351" ht="12.75" customHeight="1" s="30"/>
    <row r="65352" ht="12.75" customHeight="1" s="30"/>
    <row r="65353" ht="12.75" customHeight="1" s="30"/>
    <row r="65354" ht="12.75" customHeight="1" s="30"/>
    <row r="65355" ht="12.75" customHeight="1" s="30"/>
    <row r="65356" ht="12.75" customHeight="1" s="30"/>
    <row r="65357" ht="12.75" customHeight="1" s="30"/>
    <row r="65358" ht="12.75" customHeight="1" s="30"/>
    <row r="65359" ht="12.75" customHeight="1" s="30"/>
    <row r="65360" ht="12.75" customHeight="1" s="30"/>
    <row r="65361" ht="12.75" customHeight="1" s="30"/>
    <row r="65362" ht="12.75" customHeight="1" s="30"/>
    <row r="65363" ht="12.75" customHeight="1" s="30"/>
    <row r="65364" ht="12.75" customHeight="1" s="30"/>
    <row r="65365" ht="12.75" customHeight="1" s="30"/>
    <row r="65366" ht="12.75" customHeight="1" s="30"/>
    <row r="65367" ht="12.75" customHeight="1" s="30"/>
    <row r="65368" ht="12.75" customHeight="1" s="30"/>
    <row r="65369" ht="12.75" customHeight="1" s="30"/>
    <row r="65370" ht="12.75" customHeight="1" s="30"/>
    <row r="65371" ht="12.75" customHeight="1" s="30"/>
    <row r="65372" ht="12.75" customHeight="1" s="30"/>
    <row r="65373" ht="12.75" customHeight="1" s="30"/>
    <row r="65374" ht="12.75" customHeight="1" s="30"/>
    <row r="65375" ht="12.75" customHeight="1" s="30"/>
    <row r="65376" ht="12.75" customHeight="1" s="30"/>
    <row r="65377" ht="12.75" customHeight="1" s="30"/>
    <row r="65378" ht="12.75" customHeight="1" s="30"/>
    <row r="65379" ht="12.75" customHeight="1" s="30"/>
    <row r="65380" ht="12.75" customHeight="1" s="30"/>
    <row r="65381" ht="12.75" customHeight="1" s="30"/>
    <row r="65382" ht="12.75" customHeight="1" s="30"/>
    <row r="65383" ht="12.75" customHeight="1" s="30"/>
    <row r="65384" ht="12.75" customHeight="1" s="30"/>
    <row r="65385" ht="12.75" customHeight="1" s="30"/>
    <row r="65386" ht="12.75" customHeight="1" s="30"/>
    <row r="65387" ht="12.75" customHeight="1" s="30"/>
    <row r="65388" ht="12.75" customHeight="1" s="30"/>
    <row r="65389" ht="12.75" customHeight="1" s="30"/>
    <row r="65390" ht="12.75" customHeight="1" s="30"/>
    <row r="65391" ht="12.75" customHeight="1" s="30"/>
    <row r="65392" ht="12.75" customHeight="1" s="30"/>
    <row r="65393" ht="12.75" customHeight="1" s="30"/>
    <row r="65394" ht="12.75" customHeight="1" s="30"/>
    <row r="65395" ht="12.75" customHeight="1" s="30"/>
    <row r="65396" ht="12.75" customHeight="1" s="30"/>
    <row r="65397" ht="12.75" customHeight="1" s="30"/>
    <row r="65398" ht="12.75" customHeight="1" s="30"/>
    <row r="65399" ht="12.75" customHeight="1" s="30"/>
    <row r="65400" ht="12.75" customHeight="1" s="30"/>
  </sheetData>
  <conditionalFormatting sqref="E4:E178">
    <cfRule type="cellIs" priority="21" operator="equal" dxfId="35" stopIfTrue="1">
      <formula>"A"</formula>
    </cfRule>
    <cfRule type="cellIs" priority="22" operator="equal" dxfId="34" stopIfTrue="1">
      <formula>"E"</formula>
    </cfRule>
    <cfRule type="cellIs" priority="23" operator="equal" dxfId="33" stopIfTrue="1">
      <formula>"I"</formula>
    </cfRule>
    <cfRule type="cellIs" priority="18" operator="equal" dxfId="35" stopIfTrue="1">
      <formula>"A"</formula>
    </cfRule>
    <cfRule type="cellIs" priority="19" operator="equal" dxfId="34" stopIfTrue="1">
      <formula>"E"</formula>
    </cfRule>
    <cfRule type="cellIs" priority="20" operator="equal" dxfId="33" stopIfTrue="1">
      <formula>"I"</formula>
    </cfRule>
    <cfRule type="cellIs" priority="15" operator="equal" dxfId="35" stopIfTrue="1">
      <formula>"A"</formula>
    </cfRule>
    <cfRule type="cellIs" priority="16" operator="equal" dxfId="34" stopIfTrue="1">
      <formula>"E"</formula>
    </cfRule>
    <cfRule type="cellIs" priority="17" operator="equal" dxfId="33" stopIfTrue="1">
      <formula>"I"</formula>
    </cfRule>
    <cfRule type="cellIs" priority="12" operator="equal" dxfId="35" stopIfTrue="1">
      <formula>"A"</formula>
    </cfRule>
    <cfRule type="cellIs" priority="13" operator="equal" dxfId="34" stopIfTrue="1">
      <formula>"E"</formula>
    </cfRule>
    <cfRule type="cellIs" priority="14" operator="equal" dxfId="33" stopIfTrue="1">
      <formula>"I"</formula>
    </cfRule>
    <cfRule type="cellIs" priority="9" operator="equal" dxfId="35" stopIfTrue="1">
      <formula>"A"</formula>
    </cfRule>
    <cfRule type="cellIs" priority="10" operator="equal" dxfId="34" stopIfTrue="1">
      <formula>"E"</formula>
    </cfRule>
    <cfRule type="cellIs" priority="11" operator="equal" dxfId="33" stopIfTrue="1">
      <formula>"I"</formula>
    </cfRule>
  </conditionalFormatting>
  <conditionalFormatting sqref="J4">
    <cfRule type="expression" priority="8" dxfId="29" stopIfTrue="1">
      <formula>IF( AND( OR( E4="Manutenção Interface", E4="Paginas Estáticas" ), J4=""), TRUE)</formula>
    </cfRule>
  </conditionalFormatting>
  <conditionalFormatting sqref="J5:J20">
    <cfRule type="expression" priority="3" dxfId="29" stopIfTrue="1">
      <formula>IF( AND( OR( E5="Manutenção Interface", E5="Paginas Estáticas" ), J5=""), TRUE)</formula>
    </cfRule>
  </conditionalFormatting>
  <conditionalFormatting sqref="J21:J51">
    <cfRule type="expression" priority="2" dxfId="29" stopIfTrue="1">
      <formula>IF( AND( OR( E21="Manutenção Interface", E21="Paginas Estáticas" ), J21=""), TRUE)</formula>
    </cfRule>
  </conditionalFormatting>
  <conditionalFormatting sqref="J52:J178">
    <cfRule type="expression" priority="1" dxfId="29" stopIfTrue="1">
      <formula>IF( AND( OR( E52="Manutenção Interface", E52="Paginas Estáticas" ), J52=""), TRUE)</formula>
    </cfRule>
  </conditionalFormatting>
  <dataValidations count="2">
    <dataValidation sqref="D4:D178" showDropDown="0" showInputMessage="0" showErrorMessage="1" allowBlank="1" errorTitle="Erro" error="Não digite valores. Escolha pela combo." promptTitle="Tipo de manutenção:" prompt="ALI - Arquivo lógico interno_x000a_AIE - Arquivo de interface externa" type="list">
      <formula1>"ALI,AIE,EE,CE,SE"</formula1>
      <formula2>0</formula2>
    </dataValidation>
    <dataValidation sqref="E4:E178" showDropDown="0" showInputMessage="0" showErrorMessage="1" allowBlank="1" errorTitle="Erro" error="Não digite valores. Escolha pela combo." promptTitle="Tipo de manutenção:" prompt="ALI - Arquivo lógico interno_x000a_AIE - Arquivo de interface externa" type="list">
      <formula1>$P$180:$P$204</formula1>
    </dataValidation>
  </dataValidations>
  <pageMargins left="0.5118110236220472" right="0.5118110236220472" top="0.7874015748031497" bottom="0.7874015748031497" header="0.3149606299212598" footer="0.3149606299212598"/>
  <pageSetup orientation="portrait" paperSize="9" scale="23" fitToHeight="0" fitToWidth="0"/>
  <legacyDrawing xmlns:r="http://schemas.openxmlformats.org/officeDocument/2006/relationships" r:id="anysvml"/>
</worksheet>
</file>

<file path=xl/worksheets/sheet3.xml><?xml version="1.0" encoding="utf-8"?>
<worksheet xmlns="http://schemas.openxmlformats.org/spreadsheetml/2006/main">
  <sheetPr codeName="Planilha3">
    <outlinePr summaryBelow="1" summaryRight="1"/>
    <pageSetUpPr fitToPage="1"/>
  </sheetPr>
  <dimension ref="B2:W157"/>
  <sheetViews>
    <sheetView showGridLines="0" showRuler="0" topLeftCell="A7" zoomScaleNormal="100" zoomScalePageLayoutView="75" workbookViewId="0">
      <selection activeCell="J14" sqref="J14"/>
    </sheetView>
  </sheetViews>
  <sheetFormatPr baseColWidth="8" defaultRowHeight="14.25"/>
  <cols>
    <col width="9" customWidth="1" style="30" min="2" max="2"/>
    <col width="10.375" customWidth="1" style="30" min="3" max="5"/>
    <col width="8.75" customWidth="1" style="30" min="6" max="7"/>
    <col width="9.75" customWidth="1" style="30" min="8" max="8"/>
    <col width="7.875" bestFit="1" customWidth="1" style="30" min="9" max="9"/>
    <col width="7.375" bestFit="1" customWidth="1" style="30" min="10" max="10"/>
    <col width="9.25" bestFit="1" customWidth="1" style="30" min="11" max="11"/>
    <col width="8.125" bestFit="1" customWidth="1" style="30" min="12" max="12"/>
    <col width="5.25" bestFit="1" customWidth="1" style="30" min="13" max="13"/>
    <col width="6.75" bestFit="1" customWidth="1" style="30" min="14" max="14"/>
    <col width="10.25" customWidth="1" style="30" min="15" max="15"/>
    <col width="8.25" customWidth="1" style="30" min="16" max="16"/>
    <col hidden="1" width="8.625" customWidth="1" style="30" min="18" max="18"/>
    <col hidden="1" width="5.75" customWidth="1" style="30" min="19" max="19"/>
    <col hidden="1" width="9" customWidth="1" style="30" min="20" max="21"/>
    <col hidden="1" width="19.375" customWidth="1" style="30" min="22" max="22"/>
    <col hidden="1" width="9" customWidth="1" style="30" min="23" max="23"/>
    <col width="9" customWidth="1" style="30" min="24" max="26"/>
  </cols>
  <sheetData>
    <row r="2">
      <c r="B2" s="26" t="n"/>
      <c r="C2" s="27" t="n"/>
      <c r="D2" s="27" t="n"/>
      <c r="E2" s="27" t="n"/>
      <c r="F2" s="27" t="n"/>
      <c r="G2" s="27" t="n"/>
      <c r="H2" s="27" t="n"/>
      <c r="I2" s="27" t="n"/>
      <c r="J2" s="27" t="n"/>
      <c r="K2" s="27" t="n"/>
      <c r="L2" s="27" t="n"/>
      <c r="M2" s="27" t="n"/>
      <c r="N2" s="27" t="n"/>
      <c r="O2" s="27" t="n"/>
      <c r="P2" s="28" t="n"/>
    </row>
    <row r="3" ht="15" customHeight="1" s="30">
      <c r="B3" s="319">
        <f>CONCATENATE("Chamado: ",Contagem!E2," / ",Contagem!F2)</f>
        <v/>
      </c>
      <c r="P3" s="31" t="n"/>
    </row>
    <row r="4">
      <c r="B4" s="320">
        <f>UPPER(Contagem!C3)</f>
        <v/>
      </c>
      <c r="P4" s="31" t="n"/>
    </row>
    <row r="5">
      <c r="B5" s="321" t="n"/>
      <c r="C5" s="33" t="n"/>
      <c r="D5" s="33" t="n"/>
      <c r="E5" s="33" t="n"/>
      <c r="F5" s="33" t="n"/>
      <c r="G5" s="33" t="n"/>
      <c r="H5" s="33" t="n"/>
      <c r="I5" s="33" t="n"/>
      <c r="J5" s="33" t="n"/>
      <c r="K5" s="33" t="n"/>
      <c r="L5" s="33" t="n"/>
      <c r="M5" s="33" t="n"/>
      <c r="N5" s="33" t="n"/>
      <c r="O5" s="33" t="n"/>
      <c r="P5" s="322" t="n"/>
    </row>
    <row r="6" ht="15.75" customHeight="1" s="30">
      <c r="B6" s="165" t="inlineStr">
        <is>
          <t xml:space="preserve">MEMÓRIA DE CÁLCULO - CONTAGEM DE PONTOS DE FUNÇÃO </t>
        </is>
      </c>
      <c r="C6" s="38" t="n"/>
      <c r="D6" s="38" t="n"/>
      <c r="E6" s="38" t="n"/>
      <c r="F6" s="38" t="n"/>
      <c r="G6" s="38" t="n"/>
      <c r="H6" s="38" t="n"/>
      <c r="I6" s="38" t="n"/>
      <c r="J6" s="38" t="n"/>
      <c r="K6" s="38" t="n"/>
      <c r="L6" s="38" t="n"/>
      <c r="M6" s="38" t="n"/>
      <c r="N6" s="38" t="n"/>
      <c r="O6" s="38" t="n"/>
      <c r="P6" s="72" t="n"/>
    </row>
    <row r="7" ht="20.25" customHeight="1" s="30">
      <c r="B7" s="166" t="inlineStr">
        <is>
          <t xml:space="preserve">Identificação, Determinação da Complexidade, Cálculo de Contribuição e Análise de Impacto de Pontos de Função do Sistema </t>
        </is>
      </c>
      <c r="C7" s="38" t="n"/>
      <c r="D7" s="38" t="n"/>
      <c r="E7" s="38" t="n"/>
      <c r="F7" s="38" t="n"/>
      <c r="G7" s="38" t="n"/>
      <c r="H7" s="38" t="n"/>
      <c r="I7" s="38" t="n"/>
      <c r="J7" s="38" t="n"/>
      <c r="K7" s="38" t="n"/>
      <c r="L7" s="38" t="n"/>
      <c r="M7" s="38" t="n"/>
      <c r="N7" s="38" t="n"/>
      <c r="O7" s="38" t="n"/>
      <c r="P7" s="72" t="n"/>
    </row>
    <row r="8" ht="15" customHeight="1" s="30">
      <c r="B8" s="146" t="inlineStr">
        <is>
          <t>Projeto:</t>
        </is>
      </c>
      <c r="C8" s="72" t="n"/>
      <c r="D8" s="171">
        <f>Contagem!C9</f>
        <v/>
      </c>
      <c r="E8" s="38" t="n"/>
      <c r="F8" s="38" t="n"/>
      <c r="G8" s="38" t="n"/>
      <c r="H8" s="38" t="n"/>
      <c r="I8" s="38" t="n"/>
      <c r="J8" s="38" t="n"/>
      <c r="K8" s="38" t="n"/>
      <c r="L8" s="38" t="n"/>
      <c r="M8" s="38" t="n"/>
      <c r="N8" s="38" t="n"/>
      <c r="O8" s="38" t="n"/>
      <c r="P8" s="72" t="n"/>
    </row>
    <row r="9" ht="15" customHeight="1" s="30">
      <c r="B9" s="146" t="inlineStr">
        <is>
          <t>Responsável:</t>
        </is>
      </c>
      <c r="C9" s="72" t="n"/>
      <c r="D9" s="171">
        <f>IF(Contagem!C11&lt;&gt;"",Contagem!C11,"")</f>
        <v/>
      </c>
      <c r="E9" s="38" t="n"/>
      <c r="F9" s="38" t="n"/>
      <c r="G9" s="38" t="n"/>
      <c r="H9" s="72" t="n"/>
      <c r="I9" s="146" t="inlineStr">
        <is>
          <t>Revisor(a):</t>
        </is>
      </c>
      <c r="J9" s="72" t="n"/>
      <c r="K9" s="171">
        <f>IF(Contagem!C12&lt;&gt;"",Contagem!C12,"")</f>
        <v/>
      </c>
      <c r="L9" s="38" t="n"/>
      <c r="M9" s="38" t="n"/>
      <c r="N9" s="38" t="n"/>
      <c r="O9" s="38" t="n"/>
      <c r="P9" s="72" t="n"/>
    </row>
    <row r="10" ht="15" customHeight="1" s="30">
      <c r="B10" s="146" t="inlineStr">
        <is>
          <t>Data:</t>
        </is>
      </c>
      <c r="C10" s="72" t="n"/>
      <c r="D10" s="148">
        <f>IF(Contagem!E11&lt;&gt;"",Contagem!E11,"")</f>
        <v/>
      </c>
      <c r="E10" s="38" t="n"/>
      <c r="F10" s="38" t="n"/>
      <c r="G10" s="38" t="n"/>
      <c r="H10" s="72" t="n"/>
      <c r="I10" s="146" t="inlineStr">
        <is>
          <t>Data Revisão:</t>
        </is>
      </c>
      <c r="J10" s="72" t="n"/>
      <c r="K10" s="148">
        <f>IF(Contagem!E12&lt;&gt;"",Contagem!E12,"")</f>
        <v/>
      </c>
      <c r="L10" s="38" t="n"/>
      <c r="M10" s="38" t="n"/>
      <c r="N10" s="38" t="n"/>
      <c r="O10" s="38" t="n"/>
      <c r="P10" s="72" t="n"/>
    </row>
    <row r="11" ht="15" customHeight="1" s="30">
      <c r="B11" s="177" t="inlineStr">
        <is>
          <t>Processo Elementar ou Grupo de Dados</t>
        </is>
      </c>
      <c r="C11" s="27" t="n"/>
      <c r="D11" s="27" t="n"/>
      <c r="E11" s="27" t="n"/>
      <c r="F11" s="27" t="n"/>
      <c r="G11" s="27" t="n"/>
      <c r="H11" s="28" t="n"/>
      <c r="I11" s="187" t="inlineStr">
        <is>
          <t>Contagem</t>
        </is>
      </c>
      <c r="J11" s="38" t="n"/>
      <c r="K11" s="38" t="n"/>
      <c r="L11" s="38" t="n"/>
      <c r="M11" s="38" t="n"/>
      <c r="N11" s="38" t="n"/>
      <c r="O11" s="38" t="n"/>
      <c r="P11" s="72" t="n"/>
    </row>
    <row r="12" ht="24" customHeight="1" s="30">
      <c r="B12" s="29" t="n"/>
      <c r="H12" s="31" t="n"/>
      <c r="I12" s="176" t="inlineStr">
        <is>
          <t>Complexidade / Contribuição</t>
        </is>
      </c>
      <c r="J12" s="38" t="n"/>
      <c r="K12" s="38" t="n"/>
      <c r="L12" s="38" t="n"/>
      <c r="M12" s="72" t="n"/>
      <c r="N12" s="176" t="inlineStr">
        <is>
          <t>AIM – Análise de Impacto da Manutenção</t>
        </is>
      </c>
      <c r="O12" s="38" t="n"/>
      <c r="P12" s="72" t="n"/>
    </row>
    <row r="13" ht="15" customHeight="1" s="30">
      <c r="B13" s="321" t="n"/>
      <c r="C13" s="33" t="n"/>
      <c r="D13" s="33" t="n"/>
      <c r="E13" s="33" t="n"/>
      <c r="F13" s="33" t="n"/>
      <c r="G13" s="33" t="n"/>
      <c r="H13" s="322" t="n"/>
      <c r="I13" s="91" t="inlineStr">
        <is>
          <t xml:space="preserve">   Tipo   </t>
        </is>
      </c>
      <c r="J13" s="91" t="inlineStr">
        <is>
          <t xml:space="preserve">    TD    </t>
        </is>
      </c>
      <c r="K13" s="91" t="inlineStr">
        <is>
          <t xml:space="preserve">   AR/TR   </t>
        </is>
      </c>
      <c r="L13" s="91" t="inlineStr">
        <is>
          <t xml:space="preserve">  Comp  </t>
        </is>
      </c>
      <c r="M13" s="91" t="inlineStr">
        <is>
          <t xml:space="preserve">  PF  </t>
        </is>
      </c>
      <c r="N13" s="36" t="inlineStr">
        <is>
          <t>I/A/E</t>
        </is>
      </c>
      <c r="O13" s="36" t="inlineStr">
        <is>
          <t>Impacto</t>
        </is>
      </c>
      <c r="P13" s="36" t="inlineStr">
        <is>
          <t>PFB</t>
        </is>
      </c>
    </row>
    <row r="14" ht="15" customHeight="1" s="30">
      <c r="B14" s="42">
        <f>IF(Funções!B4&lt;&gt;"",Funções!B4,"")</f>
        <v/>
      </c>
      <c r="C14" s="44">
        <f>IF(Funções!B4&lt;&gt;"",Funções!C4,"")</f>
        <v/>
      </c>
      <c r="D14" s="40" t="n"/>
      <c r="E14" s="40" t="n"/>
      <c r="F14" s="40" t="n"/>
      <c r="G14" s="40" t="n"/>
      <c r="H14" s="41" t="n"/>
      <c r="I14" s="94">
        <f>IF(Funções!D4&lt;&gt;"",Funções!D4,"")</f>
        <v/>
      </c>
      <c r="J14" s="94">
        <f>IF(Funções!F4&lt;&gt;"",Funções!F4,"")</f>
        <v/>
      </c>
      <c r="K14" s="94">
        <f>IF(Funções!H4&lt;&gt;"",Funções!H4,"")</f>
        <v/>
      </c>
      <c r="L14" s="94">
        <f>IF(Funções!M4&lt;&gt;"",Funções!M4,"")</f>
        <v/>
      </c>
      <c r="M14" s="94">
        <f>IF(Funções!N4&lt;&gt;"",Funções!N4,"")</f>
        <v/>
      </c>
      <c r="N14" s="94">
        <f>IF(Funções!E4&lt;&gt;"",Funções!E4,"")</f>
        <v/>
      </c>
      <c r="O14" s="94">
        <f>L14</f>
        <v/>
      </c>
      <c r="P14" s="43">
        <f>IF(Funções!P4&lt;&gt;"",Funções!P4,"")</f>
        <v/>
      </c>
    </row>
    <row r="15" ht="15" customHeight="1" s="30">
      <c r="B15" s="42">
        <f>IF(Funções!B5&lt;&gt;"",Funções!B5,"")</f>
        <v/>
      </c>
      <c r="C15" s="67">
        <f>IF(Funções!C5&lt;&gt;"",Funções!C5,"")</f>
        <v/>
      </c>
      <c r="D15" s="65" t="n"/>
      <c r="E15" s="65" t="n"/>
      <c r="F15" s="65" t="n"/>
      <c r="G15" s="65" t="n"/>
      <c r="H15" s="66" t="n"/>
      <c r="I15" s="94">
        <f>IF(Funções!D5&lt;&gt;"",Funções!D5,"")</f>
        <v/>
      </c>
      <c r="J15" s="94">
        <f>IF(Funções!F5&lt;&gt;"",Funções!F5,"")</f>
        <v/>
      </c>
      <c r="K15" s="94">
        <f>IF(Funções!H5&lt;&gt;"",Funções!H5,"")</f>
        <v/>
      </c>
      <c r="L15" s="94">
        <f>IF(Funções!M5&lt;&gt;"",Funções!M5,"")</f>
        <v/>
      </c>
      <c r="M15" s="94">
        <f>IF(Funções!N5&lt;&gt;"",Funções!N5,"")</f>
        <v/>
      </c>
      <c r="N15" s="94">
        <f>IF(Funções!E5&lt;&gt;"",Funções!E5,"")</f>
        <v/>
      </c>
      <c r="O15" s="94">
        <f>L15</f>
        <v/>
      </c>
      <c r="P15" s="43">
        <f>IF(Funções!P5&lt;&gt;"",Funções!P5,"")</f>
        <v/>
      </c>
    </row>
    <row r="16" ht="15" customHeight="1" s="30">
      <c r="B16" s="42">
        <f>IF(Funções!B6&lt;&gt;"",Funções!B6,"")</f>
        <v/>
      </c>
      <c r="C16" s="67">
        <f>IF(Funções!C6&lt;&gt;"",Funções!C6,"")</f>
        <v/>
      </c>
      <c r="D16" s="65" t="n"/>
      <c r="E16" s="65" t="n"/>
      <c r="F16" s="65" t="n"/>
      <c r="G16" s="65" t="n"/>
      <c r="H16" s="66" t="n"/>
      <c r="I16" s="94">
        <f>IF(Funções!D6&lt;&gt;"",Funções!D6,"")</f>
        <v/>
      </c>
      <c r="J16" s="94">
        <f>IF(Funções!F6&lt;&gt;"",Funções!F6,"")</f>
        <v/>
      </c>
      <c r="K16" s="94">
        <f>IF(Funções!H6&lt;&gt;"",Funções!H6,"")</f>
        <v/>
      </c>
      <c r="L16" s="94">
        <f>IF(Funções!M6&lt;&gt;"",Funções!M6,"")</f>
        <v/>
      </c>
      <c r="M16" s="94">
        <f>IF(Funções!N6&lt;&gt;"",Funções!N6,"")</f>
        <v/>
      </c>
      <c r="N16" s="94">
        <f>IF(Funções!E6&lt;&gt;"",Funções!E6,"")</f>
        <v/>
      </c>
      <c r="O16" s="94">
        <f>L16</f>
        <v/>
      </c>
      <c r="P16" s="43">
        <f>IF(Funções!P6&lt;&gt;"",Funções!P6,"")</f>
        <v/>
      </c>
    </row>
    <row r="17" ht="15" customHeight="1" s="30">
      <c r="B17" s="42">
        <f>IF(Funções!B7&lt;&gt;"",Funções!B7,"")</f>
        <v/>
      </c>
      <c r="C17" s="67">
        <f>IF(Funções!C7&lt;&gt;"",Funções!C7,"")</f>
        <v/>
      </c>
      <c r="D17" s="65" t="n"/>
      <c r="E17" s="65" t="n"/>
      <c r="F17" s="65" t="n"/>
      <c r="G17" s="65" t="n"/>
      <c r="H17" s="66" t="n"/>
      <c r="I17" s="94">
        <f>IF(Funções!D7&lt;&gt;"",Funções!D7,"")</f>
        <v/>
      </c>
      <c r="J17" s="94">
        <f>IF(Funções!F7&lt;&gt;"",Funções!F7,"")</f>
        <v/>
      </c>
      <c r="K17" s="94">
        <f>IF(Funções!H7&lt;&gt;"",Funções!H7,"")</f>
        <v/>
      </c>
      <c r="L17" s="94">
        <f>IF(Funções!M7&lt;&gt;"",Funções!M7,"")</f>
        <v/>
      </c>
      <c r="M17" s="94">
        <f>IF(Funções!N7&lt;&gt;"",Funções!N7,"")</f>
        <v/>
      </c>
      <c r="N17" s="94">
        <f>IF(Funções!E7&lt;&gt;"",Funções!E7,"")</f>
        <v/>
      </c>
      <c r="O17" s="94">
        <f>L17</f>
        <v/>
      </c>
      <c r="P17" s="43">
        <f>IF(Funções!P7&lt;&gt;"",Funções!P7,"")</f>
        <v/>
      </c>
    </row>
    <row r="18" ht="15" customHeight="1" s="30">
      <c r="B18" s="42">
        <f>IF(Funções!B8&lt;&gt;"",Funções!B8,"")</f>
        <v/>
      </c>
      <c r="C18" s="67">
        <f>IF(Funções!C8&lt;&gt;"",Funções!C8,"")</f>
        <v/>
      </c>
      <c r="D18" s="65" t="n"/>
      <c r="E18" s="65" t="n"/>
      <c r="F18" s="65" t="n"/>
      <c r="G18" s="65" t="n"/>
      <c r="H18" s="66" t="n"/>
      <c r="I18" s="94">
        <f>IF(Funções!D8&lt;&gt;"",Funções!D8,"")</f>
        <v/>
      </c>
      <c r="J18" s="94">
        <f>IF(Funções!F8&lt;&gt;"",Funções!F8,"")</f>
        <v/>
      </c>
      <c r="K18" s="94">
        <f>IF(Funções!H8&lt;&gt;"",Funções!H8,"")</f>
        <v/>
      </c>
      <c r="L18" s="94">
        <f>IF(Funções!M8&lt;&gt;"",Funções!M8,"")</f>
        <v/>
      </c>
      <c r="M18" s="94">
        <f>IF(Funções!N8&lt;&gt;"",Funções!N8,"")</f>
        <v/>
      </c>
      <c r="N18" s="94">
        <f>IF(Funções!E8&lt;&gt;"",Funções!E8,"")</f>
        <v/>
      </c>
      <c r="O18" s="94">
        <f>L18</f>
        <v/>
      </c>
      <c r="P18" s="43">
        <f>IF(Funções!P8&lt;&gt;"",Funções!P8,"")</f>
        <v/>
      </c>
    </row>
    <row r="19" ht="15" customHeight="1" s="30">
      <c r="B19" s="42">
        <f>IF(Funções!B9&lt;&gt;"",Funções!B9,"")</f>
        <v/>
      </c>
      <c r="C19" s="67">
        <f>IF(Funções!C9&lt;&gt;"",Funções!C9,"")</f>
        <v/>
      </c>
      <c r="D19" s="65" t="n"/>
      <c r="E19" s="65" t="n"/>
      <c r="F19" s="65" t="n"/>
      <c r="G19" s="65" t="n"/>
      <c r="H19" s="66" t="n"/>
      <c r="I19" s="94">
        <f>IF(Funções!D9&lt;&gt;"",Funções!D9,"")</f>
        <v/>
      </c>
      <c r="J19" s="94">
        <f>IF(Funções!F9&lt;&gt;"",Funções!F9,"")</f>
        <v/>
      </c>
      <c r="K19" s="94">
        <f>IF(Funções!H9&lt;&gt;"",Funções!H9,"")</f>
        <v/>
      </c>
      <c r="L19" s="94">
        <f>IF(Funções!M9&lt;&gt;"",Funções!M9,"")</f>
        <v/>
      </c>
      <c r="M19" s="94">
        <f>IF(Funções!N9&lt;&gt;"",Funções!N9,"")</f>
        <v/>
      </c>
      <c r="N19" s="94">
        <f>IF(Funções!E9&lt;&gt;"",Funções!E9,"")</f>
        <v/>
      </c>
      <c r="O19" s="94">
        <f>L19</f>
        <v/>
      </c>
      <c r="P19" s="43">
        <f>IF(Funções!P9&lt;&gt;"",Funções!P9,"")</f>
        <v/>
      </c>
    </row>
    <row r="20" hidden="1" ht="15" customHeight="1" s="30">
      <c r="B20" s="42">
        <f>IF(Funções!B10&lt;&gt;"",Funções!B10,"")</f>
        <v/>
      </c>
      <c r="C20" s="67">
        <f>IF(Funções!C10&lt;&gt;"",Funções!C10,"")</f>
        <v/>
      </c>
      <c r="D20" s="65" t="n"/>
      <c r="E20" s="65" t="n"/>
      <c r="F20" s="65" t="n"/>
      <c r="G20" s="65" t="n"/>
      <c r="H20" s="66" t="n"/>
      <c r="I20" s="94">
        <f>IF(Funções!D10&lt;&gt;"",Funções!D10,"")</f>
        <v/>
      </c>
      <c r="J20" s="94">
        <f>IF(Funções!F10&lt;&gt;"",Funções!F10,"")</f>
        <v/>
      </c>
      <c r="K20" s="94">
        <f>IF(Funções!H10&lt;&gt;"",Funções!H10,"")</f>
        <v/>
      </c>
      <c r="L20" s="94">
        <f>IF(Funções!M10&lt;&gt;"",Funções!M10,"")</f>
        <v/>
      </c>
      <c r="M20" s="94">
        <f>IF(Funções!N10&lt;&gt;"",Funções!N10,"")</f>
        <v/>
      </c>
      <c r="N20" s="94">
        <f>IF(Funções!E10&lt;&gt;"",Funções!E10,"")</f>
        <v/>
      </c>
      <c r="O20" s="94">
        <f>L20</f>
        <v/>
      </c>
      <c r="P20" s="43">
        <f>IF(Funções!P10&lt;&gt;"",Funções!P10,"")</f>
        <v/>
      </c>
    </row>
    <row r="21" hidden="1" ht="15" customHeight="1" s="30">
      <c r="B21" s="42">
        <f>IF(Funções!B11&lt;&gt;"",Funções!B11,"")</f>
        <v/>
      </c>
      <c r="C21" s="67">
        <f>IF(Funções!C11&lt;&gt;"",Funções!C11,"")</f>
        <v/>
      </c>
      <c r="D21" s="65" t="n"/>
      <c r="E21" s="65" t="n"/>
      <c r="F21" s="65" t="n"/>
      <c r="G21" s="65" t="n"/>
      <c r="H21" s="66" t="n"/>
      <c r="I21" s="94">
        <f>IF(Funções!D11&lt;&gt;"",Funções!D11,"")</f>
        <v/>
      </c>
      <c r="J21" s="94">
        <f>IF(Funções!F11&lt;&gt;"",Funções!F11,"")</f>
        <v/>
      </c>
      <c r="K21" s="94">
        <f>IF(Funções!H11&lt;&gt;"",Funções!H11,"")</f>
        <v/>
      </c>
      <c r="L21" s="94">
        <f>IF(Funções!M11&lt;&gt;"",Funções!M11,"")</f>
        <v/>
      </c>
      <c r="M21" s="94">
        <f>IF(Funções!N11&lt;&gt;"",Funções!N11,"")</f>
        <v/>
      </c>
      <c r="N21" s="94">
        <f>IF(Funções!E11&lt;&gt;"",Funções!E11,"")</f>
        <v/>
      </c>
      <c r="O21" s="94">
        <f>L21</f>
        <v/>
      </c>
      <c r="P21" s="43">
        <f>IF(Funções!P11&lt;&gt;"",Funções!P11,"")</f>
        <v/>
      </c>
    </row>
    <row r="22" hidden="1" ht="15" customHeight="1" s="30">
      <c r="B22" s="42">
        <f>IF(Funções!B12&lt;&gt;"",Funções!B12,"")</f>
        <v/>
      </c>
      <c r="C22" s="67">
        <f>IF(Funções!C12&lt;&gt;"",Funções!C12,"")</f>
        <v/>
      </c>
      <c r="D22" s="65" t="n"/>
      <c r="E22" s="65" t="n"/>
      <c r="F22" s="65" t="n"/>
      <c r="G22" s="65" t="n"/>
      <c r="H22" s="66" t="n"/>
      <c r="I22" s="94">
        <f>IF(Funções!D12&lt;&gt;"",Funções!D12,"")</f>
        <v/>
      </c>
      <c r="J22" s="94">
        <f>IF(Funções!F12&lt;&gt;"",Funções!F12,"")</f>
        <v/>
      </c>
      <c r="K22" s="94">
        <f>IF(Funções!H12&lt;&gt;"",Funções!H12,"")</f>
        <v/>
      </c>
      <c r="L22" s="94">
        <f>IF(Funções!M12&lt;&gt;"",Funções!M12,"")</f>
        <v/>
      </c>
      <c r="M22" s="94">
        <f>IF(Funções!N12&lt;&gt;"",Funções!N12,"")</f>
        <v/>
      </c>
      <c r="N22" s="94">
        <f>IF(Funções!E12&lt;&gt;"",Funções!E12,"")</f>
        <v/>
      </c>
      <c r="O22" s="94">
        <f>L22</f>
        <v/>
      </c>
      <c r="P22" s="43">
        <f>IF(Funções!P12&lt;&gt;"",Funções!P12,"")</f>
        <v/>
      </c>
    </row>
    <row r="23" hidden="1" ht="15" customHeight="1" s="30">
      <c r="B23" s="42">
        <f>IF(Funções!B13&lt;&gt;"",Funções!B13,"")</f>
        <v/>
      </c>
      <c r="C23" s="67">
        <f>IF(Funções!C13&lt;&gt;"",Funções!C13,"")</f>
        <v/>
      </c>
      <c r="D23" s="65" t="n"/>
      <c r="E23" s="65" t="n"/>
      <c r="F23" s="65" t="n"/>
      <c r="G23" s="65" t="n"/>
      <c r="H23" s="66" t="n"/>
      <c r="I23" s="94">
        <f>IF(Funções!D13&lt;&gt;"",Funções!D13,"")</f>
        <v/>
      </c>
      <c r="J23" s="94">
        <f>IF(Funções!F13&lt;&gt;"",Funções!F13,"")</f>
        <v/>
      </c>
      <c r="K23" s="94">
        <f>IF(Funções!H13&lt;&gt;"",Funções!H13,"")</f>
        <v/>
      </c>
      <c r="L23" s="94">
        <f>IF(Funções!M13&lt;&gt;"",Funções!M13,"")</f>
        <v/>
      </c>
      <c r="M23" s="94">
        <f>IF(Funções!N13&lt;&gt;"",Funções!N13,"")</f>
        <v/>
      </c>
      <c r="N23" s="94">
        <f>IF(Funções!E13&lt;&gt;"",Funções!E13,"")</f>
        <v/>
      </c>
      <c r="O23" s="94">
        <f>L23</f>
        <v/>
      </c>
      <c r="P23" s="43">
        <f>IF(Funções!P13&lt;&gt;"",Funções!P13,"")</f>
        <v/>
      </c>
    </row>
    <row r="24" hidden="1" ht="15" customHeight="1" s="30">
      <c r="B24" s="42">
        <f>IF(Funções!B14&lt;&gt;"",Funções!B14,"")</f>
        <v/>
      </c>
      <c r="C24" s="67">
        <f>IF(Funções!C14&lt;&gt;"",Funções!C14,"")</f>
        <v/>
      </c>
      <c r="D24" s="65" t="n"/>
      <c r="E24" s="65" t="n"/>
      <c r="F24" s="65" t="n"/>
      <c r="G24" s="65" t="n"/>
      <c r="H24" s="66" t="n"/>
      <c r="I24" s="94">
        <f>IF(Funções!D14&lt;&gt;"",Funções!D14,"")</f>
        <v/>
      </c>
      <c r="J24" s="94">
        <f>IF(Funções!F14&lt;&gt;"",Funções!F14,"")</f>
        <v/>
      </c>
      <c r="K24" s="94">
        <f>IF(Funções!H14&lt;&gt;"",Funções!H14,"")</f>
        <v/>
      </c>
      <c r="L24" s="94">
        <f>IF(Funções!M14&lt;&gt;"",Funções!M14,"")</f>
        <v/>
      </c>
      <c r="M24" s="94">
        <f>IF(Funções!N14&lt;&gt;"",Funções!N14,"")</f>
        <v/>
      </c>
      <c r="N24" s="94">
        <f>IF(Funções!E14&lt;&gt;"",Funções!E14,"")</f>
        <v/>
      </c>
      <c r="O24" s="94">
        <f>L24</f>
        <v/>
      </c>
      <c r="P24" s="43">
        <f>IF(Funções!P14&lt;&gt;"",Funções!P14,"")</f>
        <v/>
      </c>
    </row>
    <row r="25" hidden="1" ht="14.25" customHeight="1" s="30">
      <c r="B25" s="42">
        <f>IF(Funções!B15&lt;&gt;"",Funções!B15,"")</f>
        <v/>
      </c>
      <c r="C25" s="67">
        <f>IF(Funções!C15&lt;&gt;"",Funções!C15,"")</f>
        <v/>
      </c>
      <c r="D25" s="65" t="n"/>
      <c r="E25" s="65" t="n"/>
      <c r="F25" s="65" t="n"/>
      <c r="G25" s="65" t="n"/>
      <c r="H25" s="66" t="n"/>
      <c r="I25" s="94">
        <f>IF(Funções!D15&lt;&gt;"",Funções!D15,"")</f>
        <v/>
      </c>
      <c r="J25" s="94">
        <f>IF(Funções!F15&lt;&gt;"",Funções!F15,"")</f>
        <v/>
      </c>
      <c r="K25" s="94">
        <f>IF(Funções!H15&lt;&gt;"",Funções!H15,"")</f>
        <v/>
      </c>
      <c r="L25" s="94">
        <f>IF(Funções!M15&lt;&gt;"",Funções!M15,"")</f>
        <v/>
      </c>
      <c r="M25" s="94">
        <f>IF(Funções!N15&lt;&gt;"",Funções!N15,"")</f>
        <v/>
      </c>
      <c r="N25" s="94">
        <f>IF(Funções!E15&lt;&gt;"",Funções!E15,"")</f>
        <v/>
      </c>
      <c r="O25" s="94">
        <f>L25</f>
        <v/>
      </c>
      <c r="P25" s="43">
        <f>IF(Funções!P15&lt;&gt;"",Funções!P15,"")</f>
        <v/>
      </c>
    </row>
    <row r="26" hidden="1" ht="15" customHeight="1" s="30">
      <c r="B26" s="42">
        <f>IF(Funções!B16&lt;&gt;"",Funções!B16,"")</f>
        <v/>
      </c>
      <c r="C26" s="67">
        <f>IF(Funções!C16&lt;&gt;"",Funções!C16,"")</f>
        <v/>
      </c>
      <c r="D26" s="65" t="n"/>
      <c r="E26" s="65" t="n"/>
      <c r="F26" s="65" t="n"/>
      <c r="G26" s="65" t="n"/>
      <c r="H26" s="66" t="n"/>
      <c r="I26" s="94">
        <f>IF(Funções!D16&lt;&gt;"",Funções!D16,"")</f>
        <v/>
      </c>
      <c r="J26" s="94">
        <f>IF(Funções!F16&lt;&gt;"",Funções!F16,"")</f>
        <v/>
      </c>
      <c r="K26" s="94">
        <f>IF(Funções!H16&lt;&gt;"",Funções!H16,"")</f>
        <v/>
      </c>
      <c r="L26" s="94">
        <f>IF(Funções!M16&lt;&gt;"",Funções!M16,"")</f>
        <v/>
      </c>
      <c r="M26" s="94">
        <f>IF(Funções!N16&lt;&gt;"",Funções!N16,"")</f>
        <v/>
      </c>
      <c r="N26" s="94">
        <f>IF(Funções!E16&lt;&gt;"",Funções!E16,"")</f>
        <v/>
      </c>
      <c r="O26" s="94">
        <f>L26</f>
        <v/>
      </c>
      <c r="P26" s="43">
        <f>IF(Funções!P16&lt;&gt;"",Funções!P16,"")</f>
        <v/>
      </c>
    </row>
    <row r="27" hidden="1" ht="15" customHeight="1" s="30">
      <c r="B27" s="42">
        <f>IF(Funções!B17&lt;&gt;"",Funções!B17,"")</f>
        <v/>
      </c>
      <c r="C27" s="67">
        <f>IF(Funções!C17&lt;&gt;"",Funções!C17,"")</f>
        <v/>
      </c>
      <c r="D27" s="65" t="n"/>
      <c r="E27" s="65" t="n"/>
      <c r="F27" s="65" t="n"/>
      <c r="G27" s="65" t="n"/>
      <c r="H27" s="66" t="n"/>
      <c r="I27" s="94">
        <f>IF(Funções!D17&lt;&gt;"",Funções!D17,"")</f>
        <v/>
      </c>
      <c r="J27" s="94">
        <f>IF(Funções!F17&lt;&gt;"",Funções!F17,"")</f>
        <v/>
      </c>
      <c r="K27" s="94">
        <f>IF(Funções!H17&lt;&gt;"",Funções!H17,"")</f>
        <v/>
      </c>
      <c r="L27" s="94">
        <f>IF(Funções!M17&lt;&gt;"",Funções!M17,"")</f>
        <v/>
      </c>
      <c r="M27" s="94">
        <f>IF(Funções!N17&lt;&gt;"",Funções!N17,"")</f>
        <v/>
      </c>
      <c r="N27" s="94">
        <f>IF(Funções!E17&lt;&gt;"",Funções!E17,"")</f>
        <v/>
      </c>
      <c r="O27" s="94">
        <f>L27</f>
        <v/>
      </c>
      <c r="P27" s="43">
        <f>IF(Funções!P17&lt;&gt;"",Funções!P17,"")</f>
        <v/>
      </c>
    </row>
    <row r="28" hidden="1" ht="15" customHeight="1" s="30">
      <c r="B28" s="42">
        <f>IF(Funções!B18&lt;&gt;"",Funções!B18,"")</f>
        <v/>
      </c>
      <c r="C28" s="67">
        <f>IF(Funções!C18&lt;&gt;"",Funções!C18,"")</f>
        <v/>
      </c>
      <c r="D28" s="65" t="n"/>
      <c r="E28" s="65" t="n"/>
      <c r="F28" s="65" t="n"/>
      <c r="G28" s="65" t="n"/>
      <c r="H28" s="66" t="n"/>
      <c r="I28" s="94">
        <f>IF(Funções!D18&lt;&gt;"",Funções!D18,"")</f>
        <v/>
      </c>
      <c r="J28" s="94">
        <f>IF(Funções!F18&lt;&gt;"",Funções!F18,"")</f>
        <v/>
      </c>
      <c r="K28" s="94">
        <f>IF(Funções!H18&lt;&gt;"",Funções!H18,"")</f>
        <v/>
      </c>
      <c r="L28" s="94">
        <f>IF(Funções!M18&lt;&gt;"",Funções!M18,"")</f>
        <v/>
      </c>
      <c r="M28" s="94">
        <f>IF(Funções!N18&lt;&gt;"",Funções!N18,"")</f>
        <v/>
      </c>
      <c r="N28" s="94">
        <f>IF(Funções!E18&lt;&gt;"",Funções!E18,"")</f>
        <v/>
      </c>
      <c r="O28" s="94">
        <f>L28</f>
        <v/>
      </c>
      <c r="P28" s="43">
        <f>IF(Funções!P18&lt;&gt;"",Funções!P18,"")</f>
        <v/>
      </c>
    </row>
    <row r="29" hidden="1" ht="15" customHeight="1" s="30">
      <c r="B29" s="42">
        <f>IF(Funções!B19&lt;&gt;"",Funções!B19,"")</f>
        <v/>
      </c>
      <c r="C29" s="67">
        <f>IF(Funções!C19&lt;&gt;"",Funções!C19,"")</f>
        <v/>
      </c>
      <c r="D29" s="65" t="n"/>
      <c r="E29" s="65" t="n"/>
      <c r="F29" s="65" t="n"/>
      <c r="G29" s="65" t="n"/>
      <c r="H29" s="66" t="n"/>
      <c r="I29" s="94">
        <f>IF(Funções!D19&lt;&gt;"",Funções!D19,"")</f>
        <v/>
      </c>
      <c r="J29" s="94">
        <f>IF(Funções!F19&lt;&gt;"",Funções!F19,"")</f>
        <v/>
      </c>
      <c r="K29" s="94">
        <f>IF(Funções!H19&lt;&gt;"",Funções!H19,"")</f>
        <v/>
      </c>
      <c r="L29" s="94">
        <f>IF(Funções!M19&lt;&gt;"",Funções!M19,"")</f>
        <v/>
      </c>
      <c r="M29" s="94">
        <f>IF(Funções!N19&lt;&gt;"",Funções!N19,"")</f>
        <v/>
      </c>
      <c r="N29" s="94">
        <f>IF(Funções!E19&lt;&gt;"",Funções!E19,"")</f>
        <v/>
      </c>
      <c r="O29" s="94">
        <f>L29</f>
        <v/>
      </c>
      <c r="P29" s="43">
        <f>IF(Funções!P19&lt;&gt;"",Funções!P19,"")</f>
        <v/>
      </c>
    </row>
    <row r="30" hidden="1" ht="15" customHeight="1" s="30">
      <c r="B30" s="42">
        <f>IF(Funções!B20&lt;&gt;"",Funções!B20,"")</f>
        <v/>
      </c>
      <c r="C30" s="67">
        <f>IF(Funções!C20&lt;&gt;"",Funções!C20,"")</f>
        <v/>
      </c>
      <c r="D30" s="65" t="n"/>
      <c r="E30" s="65" t="n"/>
      <c r="F30" s="65" t="n"/>
      <c r="G30" s="65" t="n"/>
      <c r="H30" s="66" t="n"/>
      <c r="I30" s="94">
        <f>IF(Funções!D20&lt;&gt;"",Funções!D20,"")</f>
        <v/>
      </c>
      <c r="J30" s="94">
        <f>IF(Funções!F20&lt;&gt;"",Funções!F20,"")</f>
        <v/>
      </c>
      <c r="K30" s="94">
        <f>IF(Funções!H20&lt;&gt;"",Funções!H20,"")</f>
        <v/>
      </c>
      <c r="L30" s="94">
        <f>IF(Funções!M20&lt;&gt;"",Funções!M20,"")</f>
        <v/>
      </c>
      <c r="M30" s="94">
        <f>IF(Funções!N20&lt;&gt;"",Funções!N20,"")</f>
        <v/>
      </c>
      <c r="N30" s="94">
        <f>IF(Funções!E20&lt;&gt;"",Funções!E20,"")</f>
        <v/>
      </c>
      <c r="O30" s="94">
        <f>L30</f>
        <v/>
      </c>
      <c r="P30" s="43">
        <f>IF(Funções!P20&lt;&gt;"",Funções!P20,"")</f>
        <v/>
      </c>
    </row>
    <row r="31" hidden="1" ht="15" customHeight="1" s="30">
      <c r="B31" s="42">
        <f>IF(Funções!B21&lt;&gt;"",Funções!B21,"")</f>
        <v/>
      </c>
      <c r="C31" s="67">
        <f>IF(Funções!C21&lt;&gt;"",Funções!C21,"")</f>
        <v/>
      </c>
      <c r="D31" s="65" t="n"/>
      <c r="E31" s="65" t="n"/>
      <c r="F31" s="65" t="n"/>
      <c r="G31" s="65" t="n"/>
      <c r="H31" s="66" t="n"/>
      <c r="I31" s="94">
        <f>IF(Funções!D21&lt;&gt;"",Funções!D21,"")</f>
        <v/>
      </c>
      <c r="J31" s="94">
        <f>IF(Funções!F21&lt;&gt;"",Funções!F21,"")</f>
        <v/>
      </c>
      <c r="K31" s="94">
        <f>IF(Funções!H21&lt;&gt;"",Funções!H21,"")</f>
        <v/>
      </c>
      <c r="L31" s="94">
        <f>IF(Funções!M21&lt;&gt;"",Funções!M21,"")</f>
        <v/>
      </c>
      <c r="M31" s="94">
        <f>IF(Funções!N21&lt;&gt;"",Funções!N21,"")</f>
        <v/>
      </c>
      <c r="N31" s="94">
        <f>IF(Funções!E21&lt;&gt;"",Funções!E21,"")</f>
        <v/>
      </c>
      <c r="O31" s="94">
        <f>L31</f>
        <v/>
      </c>
      <c r="P31" s="43">
        <f>IF(Funções!P21&lt;&gt;"",Funções!P21,"")</f>
        <v/>
      </c>
    </row>
    <row r="32" hidden="1" ht="15" customHeight="1" s="30">
      <c r="B32" s="42">
        <f>IF(Funções!B22&lt;&gt;"",Funções!B22,"")</f>
        <v/>
      </c>
      <c r="C32" s="67">
        <f>IF(Funções!C22&lt;&gt;"",Funções!C22,"")</f>
        <v/>
      </c>
      <c r="D32" s="65" t="n"/>
      <c r="E32" s="65" t="n"/>
      <c r="F32" s="65" t="n"/>
      <c r="G32" s="65" t="n"/>
      <c r="H32" s="66" t="n"/>
      <c r="I32" s="94">
        <f>IF(Funções!D22&lt;&gt;"",Funções!D22,"")</f>
        <v/>
      </c>
      <c r="J32" s="94">
        <f>IF(Funções!F22&lt;&gt;"",Funções!F22,"")</f>
        <v/>
      </c>
      <c r="K32" s="94">
        <f>IF(Funções!H22&lt;&gt;"",Funções!H22,"")</f>
        <v/>
      </c>
      <c r="L32" s="94">
        <f>IF(Funções!M22&lt;&gt;"",Funções!M22,"")</f>
        <v/>
      </c>
      <c r="M32" s="94">
        <f>IF(Funções!N22&lt;&gt;"",Funções!N22,"")</f>
        <v/>
      </c>
      <c r="N32" s="94">
        <f>IF(Funções!E22&lt;&gt;"",Funções!E22,"")</f>
        <v/>
      </c>
      <c r="O32" s="94">
        <f>L32</f>
        <v/>
      </c>
      <c r="P32" s="43">
        <f>IF(Funções!P22&lt;&gt;"",Funções!P22,"")</f>
        <v/>
      </c>
    </row>
    <row r="33" hidden="1" ht="15" customHeight="1" s="30">
      <c r="B33" s="42">
        <f>IF(Funções!B23&lt;&gt;"",Funções!B23,"")</f>
        <v/>
      </c>
      <c r="C33" s="67">
        <f>IF(Funções!C23&lt;&gt;"",Funções!C23,"")</f>
        <v/>
      </c>
      <c r="D33" s="65" t="n"/>
      <c r="E33" s="65" t="n"/>
      <c r="F33" s="65" t="n"/>
      <c r="G33" s="65" t="n"/>
      <c r="H33" s="66" t="n"/>
      <c r="I33" s="94">
        <f>IF(Funções!D23&lt;&gt;"",Funções!D23,"")</f>
        <v/>
      </c>
      <c r="J33" s="94">
        <f>IF(Funções!F23&lt;&gt;"",Funções!F23,"")</f>
        <v/>
      </c>
      <c r="K33" s="94">
        <f>IF(Funções!H23&lt;&gt;"",Funções!H23,"")</f>
        <v/>
      </c>
      <c r="L33" s="94">
        <f>IF(Funções!M23&lt;&gt;"",Funções!M23,"")</f>
        <v/>
      </c>
      <c r="M33" s="94">
        <f>IF(Funções!N23&lt;&gt;"",Funções!N23,"")</f>
        <v/>
      </c>
      <c r="N33" s="94">
        <f>IF(Funções!E23&lt;&gt;"",Funções!E23,"")</f>
        <v/>
      </c>
      <c r="O33" s="94">
        <f>L33</f>
        <v/>
      </c>
      <c r="P33" s="43">
        <f>IF(Funções!P23&lt;&gt;"",Funções!P23,"")</f>
        <v/>
      </c>
    </row>
    <row r="34" hidden="1" ht="15" customHeight="1" s="30">
      <c r="B34" s="42">
        <f>IF(Funções!B24&lt;&gt;"",Funções!B24,"")</f>
        <v/>
      </c>
      <c r="C34" s="67">
        <f>IF(Funções!C24&lt;&gt;"",Funções!C24,"")</f>
        <v/>
      </c>
      <c r="D34" s="65" t="n"/>
      <c r="E34" s="65" t="n"/>
      <c r="F34" s="65" t="n"/>
      <c r="G34" s="65" t="n"/>
      <c r="H34" s="66" t="n"/>
      <c r="I34" s="94">
        <f>IF(Funções!D24&lt;&gt;"",Funções!D24,"")</f>
        <v/>
      </c>
      <c r="J34" s="94">
        <f>IF(Funções!F24&lt;&gt;"",Funções!F24,"")</f>
        <v/>
      </c>
      <c r="K34" s="94">
        <f>IF(Funções!H24&lt;&gt;"",Funções!H24,"")</f>
        <v/>
      </c>
      <c r="L34" s="94">
        <f>IF(Funções!M24&lt;&gt;"",Funções!M24,"")</f>
        <v/>
      </c>
      <c r="M34" s="94">
        <f>IF(Funções!N24&lt;&gt;"",Funções!N24,"")</f>
        <v/>
      </c>
      <c r="N34" s="94">
        <f>IF(Funções!E24&lt;&gt;"",Funções!E24,"")</f>
        <v/>
      </c>
      <c r="O34" s="94">
        <f>L34</f>
        <v/>
      </c>
      <c r="P34" s="43">
        <f>IF(Funções!P24&lt;&gt;"",Funções!P24,"")</f>
        <v/>
      </c>
    </row>
    <row r="35" hidden="1" ht="15" customHeight="1" s="30">
      <c r="B35" s="42">
        <f>IF(Funções!B25&lt;&gt;"",Funções!B25,"")</f>
        <v/>
      </c>
      <c r="C35" s="67">
        <f>IF(Funções!C25&lt;&gt;"",Funções!C25,"")</f>
        <v/>
      </c>
      <c r="D35" s="65" t="n"/>
      <c r="E35" s="65" t="n"/>
      <c r="F35" s="65" t="n"/>
      <c r="G35" s="65" t="n"/>
      <c r="H35" s="66" t="n"/>
      <c r="I35" s="94">
        <f>IF(Funções!D25&lt;&gt;"",Funções!D25,"")</f>
        <v/>
      </c>
      <c r="J35" s="94">
        <f>IF(Funções!F25&lt;&gt;"",Funções!F25,"")</f>
        <v/>
      </c>
      <c r="K35" s="94">
        <f>IF(Funções!H25&lt;&gt;"",Funções!H25,"")</f>
        <v/>
      </c>
      <c r="L35" s="94">
        <f>IF(Funções!M25&lt;&gt;"",Funções!M25,"")</f>
        <v/>
      </c>
      <c r="M35" s="94">
        <f>IF(Funções!N25&lt;&gt;"",Funções!N25,"")</f>
        <v/>
      </c>
      <c r="N35" s="94">
        <f>IF(Funções!E25&lt;&gt;"",Funções!E25,"")</f>
        <v/>
      </c>
      <c r="O35" s="94">
        <f>L35</f>
        <v/>
      </c>
      <c r="P35" s="43">
        <f>IF(Funções!P25&lt;&gt;"",Funções!P25,"")</f>
        <v/>
      </c>
    </row>
    <row r="36" hidden="1" ht="15" customHeight="1" s="30">
      <c r="B36" s="42">
        <f>IF(Funções!B26&lt;&gt;"",Funções!B26,"")</f>
        <v/>
      </c>
      <c r="C36" s="67">
        <f>IF(Funções!C26&lt;&gt;"",Funções!C26,"")</f>
        <v/>
      </c>
      <c r="D36" s="65" t="n"/>
      <c r="E36" s="65" t="n"/>
      <c r="F36" s="65" t="n"/>
      <c r="G36" s="65" t="n"/>
      <c r="H36" s="66" t="n"/>
      <c r="I36" s="94">
        <f>IF(Funções!D26&lt;&gt;"",Funções!D26,"")</f>
        <v/>
      </c>
      <c r="J36" s="94">
        <f>IF(Funções!F26&lt;&gt;"",Funções!F26,"")</f>
        <v/>
      </c>
      <c r="K36" s="94">
        <f>IF(Funções!H26&lt;&gt;"",Funções!H26,"")</f>
        <v/>
      </c>
      <c r="L36" s="94">
        <f>IF(Funções!M26&lt;&gt;"",Funções!M26,"")</f>
        <v/>
      </c>
      <c r="M36" s="94">
        <f>IF(Funções!N26&lt;&gt;"",Funções!N26,"")</f>
        <v/>
      </c>
      <c r="N36" s="94">
        <f>IF(Funções!E26&lt;&gt;"",Funções!E26,"")</f>
        <v/>
      </c>
      <c r="O36" s="94">
        <f>L36</f>
        <v/>
      </c>
      <c r="P36" s="43">
        <f>IF(Funções!P26&lt;&gt;"",Funções!P26,"")</f>
        <v/>
      </c>
    </row>
    <row r="37" hidden="1" ht="15" customHeight="1" s="30">
      <c r="B37" s="42">
        <f>IF(Funções!B27&lt;&gt;"",Funções!B27,"")</f>
        <v/>
      </c>
      <c r="C37" s="67">
        <f>IF(Funções!C27&lt;&gt;"",Funções!C27,"")</f>
        <v/>
      </c>
      <c r="D37" s="65" t="n"/>
      <c r="E37" s="65" t="n"/>
      <c r="F37" s="65" t="n"/>
      <c r="G37" s="65" t="n"/>
      <c r="H37" s="66" t="n"/>
      <c r="I37" s="94">
        <f>IF(Funções!D27&lt;&gt;"",Funções!D27,"")</f>
        <v/>
      </c>
      <c r="J37" s="94">
        <f>IF(Funções!F27&lt;&gt;"",Funções!F27,"")</f>
        <v/>
      </c>
      <c r="K37" s="94">
        <f>IF(Funções!H27&lt;&gt;"",Funções!H27,"")</f>
        <v/>
      </c>
      <c r="L37" s="94">
        <f>IF(Funções!M27&lt;&gt;"",Funções!M27,"")</f>
        <v/>
      </c>
      <c r="M37" s="94">
        <f>IF(Funções!N27&lt;&gt;"",Funções!N27,"")</f>
        <v/>
      </c>
      <c r="N37" s="94">
        <f>IF(Funções!E27&lt;&gt;"",Funções!E27,"")</f>
        <v/>
      </c>
      <c r="O37" s="94">
        <f>L37</f>
        <v/>
      </c>
      <c r="P37" s="43">
        <f>IF(Funções!P27&lt;&gt;"",Funções!P27,"")</f>
        <v/>
      </c>
    </row>
    <row r="38" hidden="1" ht="15" customHeight="1" s="30">
      <c r="B38" s="42">
        <f>IF(Funções!B28&lt;&gt;"",Funções!B28,"")</f>
        <v/>
      </c>
      <c r="C38" s="67">
        <f>IF(Funções!C28&lt;&gt;"",Funções!C28,"")</f>
        <v/>
      </c>
      <c r="D38" s="65" t="n"/>
      <c r="E38" s="65" t="n"/>
      <c r="F38" s="65" t="n"/>
      <c r="G38" s="65" t="n"/>
      <c r="H38" s="66" t="n"/>
      <c r="I38" s="94">
        <f>IF(Funções!D28&lt;&gt;"",Funções!D28,"")</f>
        <v/>
      </c>
      <c r="J38" s="94">
        <f>IF(Funções!F28&lt;&gt;"",Funções!F28,"")</f>
        <v/>
      </c>
      <c r="K38" s="94">
        <f>IF(Funções!H28&lt;&gt;"",Funções!H28,"")</f>
        <v/>
      </c>
      <c r="L38" s="94">
        <f>IF(Funções!M28&lt;&gt;"",Funções!M28,"")</f>
        <v/>
      </c>
      <c r="M38" s="94">
        <f>IF(Funções!N28&lt;&gt;"",Funções!N28,"")</f>
        <v/>
      </c>
      <c r="N38" s="94">
        <f>IF(Funções!E28&lt;&gt;"",Funções!E28,"")</f>
        <v/>
      </c>
      <c r="O38" s="94">
        <f>L38</f>
        <v/>
      </c>
      <c r="P38" s="43">
        <f>IF(Funções!P28&lt;&gt;"",Funções!P28,"")</f>
        <v/>
      </c>
    </row>
    <row r="39" hidden="1" ht="15" customHeight="1" s="30">
      <c r="B39" s="42">
        <f>IF(Funções!B29&lt;&gt;"",Funções!B29,"")</f>
        <v/>
      </c>
      <c r="C39" s="67">
        <f>IF(Funções!C29&lt;&gt;"",Funções!C29,"")</f>
        <v/>
      </c>
      <c r="D39" s="65" t="n"/>
      <c r="E39" s="65" t="n"/>
      <c r="F39" s="65" t="n"/>
      <c r="G39" s="65" t="n"/>
      <c r="H39" s="66" t="n"/>
      <c r="I39" s="94">
        <f>IF(Funções!D29&lt;&gt;"",Funções!D29,"")</f>
        <v/>
      </c>
      <c r="J39" s="94">
        <f>IF(Funções!F29&lt;&gt;"",Funções!F29,"")</f>
        <v/>
      </c>
      <c r="K39" s="94">
        <f>IF(Funções!H29&lt;&gt;"",Funções!H29,"")</f>
        <v/>
      </c>
      <c r="L39" s="94">
        <f>IF(Funções!M29&lt;&gt;"",Funções!M29,"")</f>
        <v/>
      </c>
      <c r="M39" s="94">
        <f>IF(Funções!N29&lt;&gt;"",Funções!N29,"")</f>
        <v/>
      </c>
      <c r="N39" s="94">
        <f>IF(Funções!E29&lt;&gt;"",Funções!E29,"")</f>
        <v/>
      </c>
      <c r="O39" s="94">
        <f>L39</f>
        <v/>
      </c>
      <c r="P39" s="43">
        <f>IF(Funções!P29&lt;&gt;"",Funções!P29,"")</f>
        <v/>
      </c>
    </row>
    <row r="40" hidden="1" ht="15" customHeight="1" s="30">
      <c r="B40" s="42">
        <f>IF(Funções!B30&lt;&gt;"",Funções!B30,"")</f>
        <v/>
      </c>
      <c r="C40" s="67">
        <f>IF(Funções!C30&lt;&gt;"",Funções!C30,"")</f>
        <v/>
      </c>
      <c r="D40" s="65" t="n"/>
      <c r="E40" s="65" t="n"/>
      <c r="F40" s="65" t="n"/>
      <c r="G40" s="65" t="n"/>
      <c r="H40" s="66" t="n"/>
      <c r="I40" s="94">
        <f>IF(Funções!D30&lt;&gt;"",Funções!D30,"")</f>
        <v/>
      </c>
      <c r="J40" s="94">
        <f>IF(Funções!F30&lt;&gt;"",Funções!F30,"")</f>
        <v/>
      </c>
      <c r="K40" s="94">
        <f>IF(Funções!H30&lt;&gt;"",Funções!H30,"")</f>
        <v/>
      </c>
      <c r="L40" s="94">
        <f>IF(Funções!M30&lt;&gt;"",Funções!M30,"")</f>
        <v/>
      </c>
      <c r="M40" s="94">
        <f>IF(Funções!N30&lt;&gt;"",Funções!N30,"")</f>
        <v/>
      </c>
      <c r="N40" s="94">
        <f>IF(Funções!E30&lt;&gt;"",Funções!E30,"")</f>
        <v/>
      </c>
      <c r="O40" s="94">
        <f>L40</f>
        <v/>
      </c>
      <c r="P40" s="43">
        <f>IF(Funções!P30&lt;&gt;"",Funções!P30,"")</f>
        <v/>
      </c>
    </row>
    <row r="41" hidden="1" ht="15" customHeight="1" s="30">
      <c r="B41" s="42">
        <f>IF(Funções!B31&lt;&gt;"",Funções!B31,"")</f>
        <v/>
      </c>
      <c r="C41" s="67">
        <f>IF(Funções!C31&lt;&gt;"",Funções!C31,"")</f>
        <v/>
      </c>
      <c r="D41" s="65" t="n"/>
      <c r="E41" s="65" t="n"/>
      <c r="F41" s="65" t="n"/>
      <c r="G41" s="65" t="n"/>
      <c r="H41" s="66" t="n"/>
      <c r="I41" s="94">
        <f>IF(Funções!D31&lt;&gt;"",Funções!D31,"")</f>
        <v/>
      </c>
      <c r="J41" s="94">
        <f>IF(Funções!F31&lt;&gt;"",Funções!F31,"")</f>
        <v/>
      </c>
      <c r="K41" s="94">
        <f>IF(Funções!H31&lt;&gt;"",Funções!H31,"")</f>
        <v/>
      </c>
      <c r="L41" s="94">
        <f>IF(Funções!M31&lt;&gt;"",Funções!M31,"")</f>
        <v/>
      </c>
      <c r="M41" s="94">
        <f>IF(Funções!N31&lt;&gt;"",Funções!N31,"")</f>
        <v/>
      </c>
      <c r="N41" s="94">
        <f>IF(Funções!E31&lt;&gt;"",Funções!E31,"")</f>
        <v/>
      </c>
      <c r="O41" s="94">
        <f>L41</f>
        <v/>
      </c>
      <c r="P41" s="43">
        <f>IF(Funções!P31&lt;&gt;"",Funções!P31,"")</f>
        <v/>
      </c>
    </row>
    <row r="42" hidden="1" ht="14.25" customHeight="1" s="30">
      <c r="B42" s="42">
        <f>IF(Funções!B32&lt;&gt;"",Funções!B32,"")</f>
        <v/>
      </c>
      <c r="C42" s="67">
        <f>IF(Funções!C32&lt;&gt;"",Funções!C32,"")</f>
        <v/>
      </c>
      <c r="D42" s="65" t="n"/>
      <c r="E42" s="65" t="n"/>
      <c r="F42" s="65" t="n"/>
      <c r="G42" s="65" t="n"/>
      <c r="H42" s="66" t="n"/>
      <c r="I42" s="94">
        <f>IF(Funções!D32&lt;&gt;"",Funções!D32,"")</f>
        <v/>
      </c>
      <c r="J42" s="94">
        <f>IF(Funções!F32&lt;&gt;"",Funções!F32,"")</f>
        <v/>
      </c>
      <c r="K42" s="94">
        <f>IF(Funções!H32&lt;&gt;"",Funções!H32,"")</f>
        <v/>
      </c>
      <c r="L42" s="94">
        <f>IF(Funções!M32&lt;&gt;"",Funções!M32,"")</f>
        <v/>
      </c>
      <c r="M42" s="94">
        <f>IF(Funções!N32&lt;&gt;"",Funções!N32,"")</f>
        <v/>
      </c>
      <c r="N42" s="94">
        <f>IF(Funções!E32&lt;&gt;"",Funções!E32,"")</f>
        <v/>
      </c>
      <c r="O42" s="94">
        <f>L42</f>
        <v/>
      </c>
      <c r="P42" s="43">
        <f>IF(Funções!P32&lt;&gt;"",Funções!P32,"")</f>
        <v/>
      </c>
    </row>
    <row r="43" hidden="1" ht="15" customHeight="1" s="30">
      <c r="B43" s="42">
        <f>IF(Funções!B33&lt;&gt;"",Funções!B33,"")</f>
        <v/>
      </c>
      <c r="C43" s="67">
        <f>IF(Funções!C33&lt;&gt;"",Funções!C33,"")</f>
        <v/>
      </c>
      <c r="D43" s="65" t="n"/>
      <c r="E43" s="65" t="n"/>
      <c r="F43" s="65" t="n"/>
      <c r="G43" s="65" t="n"/>
      <c r="H43" s="66" t="n"/>
      <c r="I43" s="94">
        <f>IF(Funções!D33&lt;&gt;"",Funções!D33,"")</f>
        <v/>
      </c>
      <c r="J43" s="94">
        <f>IF(Funções!F33&lt;&gt;"",Funções!F33,"")</f>
        <v/>
      </c>
      <c r="K43" s="94">
        <f>IF(Funções!H33&lt;&gt;"",Funções!H33,"")</f>
        <v/>
      </c>
      <c r="L43" s="94">
        <f>IF(Funções!M33&lt;&gt;"",Funções!M33,"")</f>
        <v/>
      </c>
      <c r="M43" s="94">
        <f>IF(Funções!N33&lt;&gt;"",Funções!N33,"")</f>
        <v/>
      </c>
      <c r="N43" s="94">
        <f>IF(Funções!E33&lt;&gt;"",Funções!E33,"")</f>
        <v/>
      </c>
      <c r="O43" s="94">
        <f>L43</f>
        <v/>
      </c>
      <c r="P43" s="43">
        <f>IF(Funções!P33&lt;&gt;"",Funções!P33,"")</f>
        <v/>
      </c>
    </row>
    <row r="44" hidden="1" ht="15" customHeight="1" s="30">
      <c r="B44" s="42">
        <f>IF(Funções!B34&lt;&gt;"",Funções!B34,"")</f>
        <v/>
      </c>
      <c r="C44" s="67">
        <f>IF(Funções!C34&lt;&gt;"",Funções!C34,"")</f>
        <v/>
      </c>
      <c r="D44" s="65" t="n"/>
      <c r="E44" s="65" t="n"/>
      <c r="F44" s="65" t="n"/>
      <c r="G44" s="65" t="n"/>
      <c r="H44" s="66" t="n"/>
      <c r="I44" s="94">
        <f>IF(Funções!D34&lt;&gt;"",Funções!D34,"")</f>
        <v/>
      </c>
      <c r="J44" s="94">
        <f>IF(Funções!F34&lt;&gt;"",Funções!F34,"")</f>
        <v/>
      </c>
      <c r="K44" s="94">
        <f>IF(Funções!H34&lt;&gt;"",Funções!H34,"")</f>
        <v/>
      </c>
      <c r="L44" s="94">
        <f>IF(Funções!M34&lt;&gt;"",Funções!M34,"")</f>
        <v/>
      </c>
      <c r="M44" s="94">
        <f>IF(Funções!N34&lt;&gt;"",Funções!N34,"")</f>
        <v/>
      </c>
      <c r="N44" s="94">
        <f>IF(Funções!E34&lt;&gt;"",Funções!E34,"")</f>
        <v/>
      </c>
      <c r="O44" s="94">
        <f>L44</f>
        <v/>
      </c>
      <c r="P44" s="43">
        <f>IF(Funções!P34&lt;&gt;"",Funções!P34,"")</f>
        <v/>
      </c>
    </row>
    <row r="45" hidden="1" ht="15" customHeight="1" s="30">
      <c r="B45" s="42">
        <f>IF(Funções!B35&lt;&gt;"",Funções!B35,"")</f>
        <v/>
      </c>
      <c r="C45" s="67">
        <f>IF(Funções!C35&lt;&gt;"",Funções!C35,"")</f>
        <v/>
      </c>
      <c r="D45" s="65" t="n"/>
      <c r="E45" s="65" t="n"/>
      <c r="F45" s="65" t="n"/>
      <c r="G45" s="65" t="n"/>
      <c r="H45" s="66" t="n"/>
      <c r="I45" s="94">
        <f>IF(Funções!D35&lt;&gt;"",Funções!D35,"")</f>
        <v/>
      </c>
      <c r="J45" s="94">
        <f>IF(Funções!F35&lt;&gt;"",Funções!F35,"")</f>
        <v/>
      </c>
      <c r="K45" s="94">
        <f>IF(Funções!H35&lt;&gt;"",Funções!H35,"")</f>
        <v/>
      </c>
      <c r="L45" s="94">
        <f>IF(Funções!M35&lt;&gt;"",Funções!M35,"")</f>
        <v/>
      </c>
      <c r="M45" s="94">
        <f>IF(Funções!N35&lt;&gt;"",Funções!N35,"")</f>
        <v/>
      </c>
      <c r="N45" s="94">
        <f>IF(Funções!E35&lt;&gt;"",Funções!E35,"")</f>
        <v/>
      </c>
      <c r="O45" s="94">
        <f>L45</f>
        <v/>
      </c>
      <c r="P45" s="43">
        <f>IF(Funções!P35&lt;&gt;"",Funções!P35,"")</f>
        <v/>
      </c>
    </row>
    <row r="46" hidden="1" ht="15" customHeight="1" s="30">
      <c r="B46" s="42">
        <f>IF(Funções!B36&lt;&gt;"",Funções!B36,"")</f>
        <v/>
      </c>
      <c r="C46" s="67">
        <f>IF(Funções!C36&lt;&gt;"",Funções!C36,"")</f>
        <v/>
      </c>
      <c r="D46" s="65" t="n"/>
      <c r="E46" s="65" t="n"/>
      <c r="F46" s="65" t="n"/>
      <c r="G46" s="65" t="n"/>
      <c r="H46" s="66" t="n"/>
      <c r="I46" s="94">
        <f>IF(Funções!D36&lt;&gt;"",Funções!D36,"")</f>
        <v/>
      </c>
      <c r="J46" s="94">
        <f>IF(Funções!F36&lt;&gt;"",Funções!F36,"")</f>
        <v/>
      </c>
      <c r="K46" s="94">
        <f>IF(Funções!H36&lt;&gt;"",Funções!H36,"")</f>
        <v/>
      </c>
      <c r="L46" s="94">
        <f>IF(Funções!M36&lt;&gt;"",Funções!M36,"")</f>
        <v/>
      </c>
      <c r="M46" s="94">
        <f>IF(Funções!N36&lt;&gt;"",Funções!N36,"")</f>
        <v/>
      </c>
      <c r="N46" s="94">
        <f>IF(Funções!E36&lt;&gt;"",Funções!E36,"")</f>
        <v/>
      </c>
      <c r="O46" s="94">
        <f>L46</f>
        <v/>
      </c>
      <c r="P46" s="43">
        <f>IF(Funções!P36&lt;&gt;"",Funções!P36,"")</f>
        <v/>
      </c>
    </row>
    <row r="47" hidden="1" ht="15" customHeight="1" s="30">
      <c r="B47" s="42">
        <f>IF(Funções!B37&lt;&gt;"",Funções!B37,"")</f>
        <v/>
      </c>
      <c r="C47" s="67">
        <f>IF(Funções!C37&lt;&gt;"",Funções!C37,"")</f>
        <v/>
      </c>
      <c r="D47" s="65" t="n"/>
      <c r="E47" s="65" t="n"/>
      <c r="F47" s="65" t="n"/>
      <c r="G47" s="65" t="n"/>
      <c r="H47" s="66" t="n"/>
      <c r="I47" s="94">
        <f>IF(Funções!D37&lt;&gt;"",Funções!D37,"")</f>
        <v/>
      </c>
      <c r="J47" s="94">
        <f>IF(Funções!F37&lt;&gt;"",Funções!F37,"")</f>
        <v/>
      </c>
      <c r="K47" s="94">
        <f>IF(Funções!H37&lt;&gt;"",Funções!H37,"")</f>
        <v/>
      </c>
      <c r="L47" s="94">
        <f>IF(Funções!M37&lt;&gt;"",Funções!M37,"")</f>
        <v/>
      </c>
      <c r="M47" s="94">
        <f>IF(Funções!N37&lt;&gt;"",Funções!N37,"")</f>
        <v/>
      </c>
      <c r="N47" s="94">
        <f>IF(Funções!E37&lt;&gt;"",Funções!E37,"")</f>
        <v/>
      </c>
      <c r="O47" s="94">
        <f>L47</f>
        <v/>
      </c>
      <c r="P47" s="43">
        <f>IF(Funções!P37&lt;&gt;"",Funções!P37,"")</f>
        <v/>
      </c>
    </row>
    <row r="48" hidden="1" ht="15" customHeight="1" s="30">
      <c r="B48" s="42">
        <f>IF(Funções!B38&lt;&gt;"",Funções!B38,"")</f>
        <v/>
      </c>
      <c r="C48" s="67">
        <f>IF(Funções!C38&lt;&gt;"",Funções!C38,"")</f>
        <v/>
      </c>
      <c r="D48" s="65" t="n"/>
      <c r="E48" s="65" t="n"/>
      <c r="F48" s="65" t="n"/>
      <c r="G48" s="65" t="n"/>
      <c r="H48" s="66" t="n"/>
      <c r="I48" s="94">
        <f>IF(Funções!D38&lt;&gt;"",Funções!D38,"")</f>
        <v/>
      </c>
      <c r="J48" s="94">
        <f>IF(Funções!F38&lt;&gt;"",Funções!F38,"")</f>
        <v/>
      </c>
      <c r="K48" s="94">
        <f>IF(Funções!H38&lt;&gt;"",Funções!H38,"")</f>
        <v/>
      </c>
      <c r="L48" s="94">
        <f>IF(Funções!M38&lt;&gt;"",Funções!M38,"")</f>
        <v/>
      </c>
      <c r="M48" s="94">
        <f>IF(Funções!N38&lt;&gt;"",Funções!N38,"")</f>
        <v/>
      </c>
      <c r="N48" s="94">
        <f>IF(Funções!E38&lt;&gt;"",Funções!E38,"")</f>
        <v/>
      </c>
      <c r="O48" s="94">
        <f>L48</f>
        <v/>
      </c>
      <c r="P48" s="43">
        <f>IF(Funções!P38&lt;&gt;"",Funções!P38,"")</f>
        <v/>
      </c>
    </row>
    <row r="49" hidden="1" ht="15" customHeight="1" s="30">
      <c r="B49" s="42">
        <f>IF(Funções!B39&lt;&gt;"",Funções!B39,"")</f>
        <v/>
      </c>
      <c r="C49" s="67">
        <f>IF(Funções!C39&lt;&gt;"",Funções!C39,"")</f>
        <v/>
      </c>
      <c r="D49" s="65" t="n"/>
      <c r="E49" s="65" t="n"/>
      <c r="F49" s="65" t="n"/>
      <c r="G49" s="65" t="n"/>
      <c r="H49" s="66" t="n"/>
      <c r="I49" s="94">
        <f>IF(Funções!D39&lt;&gt;"",Funções!D39,"")</f>
        <v/>
      </c>
      <c r="J49" s="94">
        <f>IF(Funções!F39&lt;&gt;"",Funções!F39,"")</f>
        <v/>
      </c>
      <c r="K49" s="94">
        <f>IF(Funções!H39&lt;&gt;"",Funções!H39,"")</f>
        <v/>
      </c>
      <c r="L49" s="94">
        <f>IF(Funções!M39&lt;&gt;"",Funções!M39,"")</f>
        <v/>
      </c>
      <c r="M49" s="94">
        <f>IF(Funções!N39&lt;&gt;"",Funções!N39,"")</f>
        <v/>
      </c>
      <c r="N49" s="94">
        <f>IF(Funções!E39&lt;&gt;"",Funções!E39,"")</f>
        <v/>
      </c>
      <c r="O49" s="94">
        <f>L49</f>
        <v/>
      </c>
      <c r="P49" s="43">
        <f>IF(Funções!P39&lt;&gt;"",Funções!P39,"")</f>
        <v/>
      </c>
    </row>
    <row r="50" hidden="1" ht="15" customHeight="1" s="30">
      <c r="B50" s="42">
        <f>IF(Funções!B40&lt;&gt;"",Funções!B40,"")</f>
        <v/>
      </c>
      <c r="C50" s="67">
        <f>IF(Funções!C40&lt;&gt;"",Funções!C40,"")</f>
        <v/>
      </c>
      <c r="D50" s="65" t="n"/>
      <c r="E50" s="65" t="n"/>
      <c r="F50" s="65" t="n"/>
      <c r="G50" s="65" t="n"/>
      <c r="H50" s="66" t="n"/>
      <c r="I50" s="94">
        <f>IF(Funções!D40&lt;&gt;"",Funções!D40,"")</f>
        <v/>
      </c>
      <c r="J50" s="94">
        <f>IF(Funções!F40&lt;&gt;"",Funções!F40,"")</f>
        <v/>
      </c>
      <c r="K50" s="94">
        <f>IF(Funções!H40&lt;&gt;"",Funções!H40,"")</f>
        <v/>
      </c>
      <c r="L50" s="94">
        <f>IF(Funções!M40&lt;&gt;"",Funções!M40,"")</f>
        <v/>
      </c>
      <c r="M50" s="94">
        <f>IF(Funções!N40&lt;&gt;"",Funções!N40,"")</f>
        <v/>
      </c>
      <c r="N50" s="94">
        <f>IF(Funções!E40&lt;&gt;"",Funções!E40,"")</f>
        <v/>
      </c>
      <c r="O50" s="94">
        <f>L50</f>
        <v/>
      </c>
      <c r="P50" s="43">
        <f>IF(Funções!P40&lt;&gt;"",Funções!P40,"")</f>
        <v/>
      </c>
    </row>
    <row r="51" hidden="1" ht="15" customHeight="1" s="30">
      <c r="B51" s="42">
        <f>IF(Funções!B41&lt;&gt;"",Funções!B41,"")</f>
        <v/>
      </c>
      <c r="C51" s="67">
        <f>IF(Funções!C41&lt;&gt;"",Funções!C41,"")</f>
        <v/>
      </c>
      <c r="D51" s="65" t="n"/>
      <c r="E51" s="65" t="n"/>
      <c r="F51" s="65" t="n"/>
      <c r="G51" s="65" t="n"/>
      <c r="H51" s="66" t="n"/>
      <c r="I51" s="94">
        <f>IF(Funções!D41&lt;&gt;"",Funções!D41,"")</f>
        <v/>
      </c>
      <c r="J51" s="94">
        <f>IF(Funções!F41&lt;&gt;"",Funções!F41,"")</f>
        <v/>
      </c>
      <c r="K51" s="94">
        <f>IF(Funções!H41&lt;&gt;"",Funções!H41,"")</f>
        <v/>
      </c>
      <c r="L51" s="94">
        <f>IF(Funções!M41&lt;&gt;"",Funções!M41,"")</f>
        <v/>
      </c>
      <c r="M51" s="94">
        <f>IF(Funções!N41&lt;&gt;"",Funções!N41,"")</f>
        <v/>
      </c>
      <c r="N51" s="94">
        <f>IF(Funções!E41&lt;&gt;"",Funções!E41,"")</f>
        <v/>
      </c>
      <c r="O51" s="94">
        <f>L51</f>
        <v/>
      </c>
      <c r="P51" s="43">
        <f>IF(Funções!P41&lt;&gt;"",Funções!P41,"")</f>
        <v/>
      </c>
    </row>
    <row r="52" hidden="1" ht="15" customHeight="1" s="30">
      <c r="B52" s="42">
        <f>IF(Funções!B42&lt;&gt;"",Funções!B42,"")</f>
        <v/>
      </c>
      <c r="C52" s="67">
        <f>IF(Funções!C42&lt;&gt;"",Funções!C42,"")</f>
        <v/>
      </c>
      <c r="D52" s="65" t="n"/>
      <c r="E52" s="65" t="n"/>
      <c r="F52" s="65" t="n"/>
      <c r="G52" s="65" t="n"/>
      <c r="H52" s="66" t="n"/>
      <c r="I52" s="94">
        <f>IF(Funções!D42&lt;&gt;"",Funções!D42,"")</f>
        <v/>
      </c>
      <c r="J52" s="94">
        <f>IF(Funções!F42&lt;&gt;"",Funções!F42,"")</f>
        <v/>
      </c>
      <c r="K52" s="94">
        <f>IF(Funções!H42&lt;&gt;"",Funções!H42,"")</f>
        <v/>
      </c>
      <c r="L52" s="94">
        <f>IF(Funções!M42&lt;&gt;"",Funções!M42,"")</f>
        <v/>
      </c>
      <c r="M52" s="94">
        <f>IF(Funções!N42&lt;&gt;"",Funções!N42,"")</f>
        <v/>
      </c>
      <c r="N52" s="94">
        <f>IF(Funções!E42&lt;&gt;"",Funções!E42,"")</f>
        <v/>
      </c>
      <c r="O52" s="94">
        <f>L52</f>
        <v/>
      </c>
      <c r="P52" s="43">
        <f>IF(Funções!P42&lt;&gt;"",Funções!P42,"")</f>
        <v/>
      </c>
    </row>
    <row r="53" hidden="1" ht="14.25" customHeight="1" s="30">
      <c r="B53" s="42">
        <f>IF(Funções!B43&lt;&gt;"",Funções!B43,"")</f>
        <v/>
      </c>
      <c r="C53" s="67">
        <f>IF(Funções!C43&lt;&gt;"",Funções!C43,"")</f>
        <v/>
      </c>
      <c r="D53" s="65" t="n"/>
      <c r="E53" s="65" t="n"/>
      <c r="F53" s="65" t="n"/>
      <c r="G53" s="65" t="n"/>
      <c r="H53" s="66" t="n"/>
      <c r="I53" s="94">
        <f>IF(Funções!D43&lt;&gt;"",Funções!D43,"")</f>
        <v/>
      </c>
      <c r="J53" s="94">
        <f>IF(Funções!F43&lt;&gt;"",Funções!F43,"")</f>
        <v/>
      </c>
      <c r="K53" s="94">
        <f>IF(Funções!H43&lt;&gt;"",Funções!H43,"")</f>
        <v/>
      </c>
      <c r="L53" s="94">
        <f>IF(Funções!M43&lt;&gt;"",Funções!M43,"")</f>
        <v/>
      </c>
      <c r="M53" s="94">
        <f>IF(Funções!N43&lt;&gt;"",Funções!N43,"")</f>
        <v/>
      </c>
      <c r="N53" s="94">
        <f>IF(Funções!E43&lt;&gt;"",Funções!E43,"")</f>
        <v/>
      </c>
      <c r="O53" s="94">
        <f>L53</f>
        <v/>
      </c>
      <c r="P53" s="43">
        <f>IF(Funções!P43&lt;&gt;"",Funções!P43,"")</f>
        <v/>
      </c>
    </row>
    <row r="54" hidden="1" ht="15" customHeight="1" s="30">
      <c r="B54" s="42">
        <f>IF(Funções!B44&lt;&gt;"",Funções!B44,"")</f>
        <v/>
      </c>
      <c r="C54" s="67">
        <f>IF(Funções!C44&lt;&gt;"",Funções!C44,"")</f>
        <v/>
      </c>
      <c r="D54" s="65" t="n"/>
      <c r="E54" s="65" t="n"/>
      <c r="F54" s="65" t="n"/>
      <c r="G54" s="65" t="n"/>
      <c r="H54" s="66" t="n"/>
      <c r="I54" s="94">
        <f>IF(Funções!D44&lt;&gt;"",Funções!D44,"")</f>
        <v/>
      </c>
      <c r="J54" s="94">
        <f>IF(Funções!F44&lt;&gt;"",Funções!F44,"")</f>
        <v/>
      </c>
      <c r="K54" s="94">
        <f>IF(Funções!H44&lt;&gt;"",Funções!H44,"")</f>
        <v/>
      </c>
      <c r="L54" s="94">
        <f>IF(Funções!M44&lt;&gt;"",Funções!M44,"")</f>
        <v/>
      </c>
      <c r="M54" s="94">
        <f>IF(Funções!N44&lt;&gt;"",Funções!N44,"")</f>
        <v/>
      </c>
      <c r="N54" s="94">
        <f>IF(Funções!E44&lt;&gt;"",Funções!E44,"")</f>
        <v/>
      </c>
      <c r="O54" s="94">
        <f>L54</f>
        <v/>
      </c>
      <c r="P54" s="43">
        <f>IF(Funções!P44&lt;&gt;"",Funções!P44,"")</f>
        <v/>
      </c>
    </row>
    <row r="55" hidden="1" ht="15" customHeight="1" s="30">
      <c r="B55" s="42">
        <f>IF(Funções!B45&lt;&gt;"",Funções!B45,"")</f>
        <v/>
      </c>
      <c r="C55" s="67">
        <f>IF(Funções!C45&lt;&gt;"",Funções!C45,"")</f>
        <v/>
      </c>
      <c r="D55" s="65" t="n"/>
      <c r="E55" s="65" t="n"/>
      <c r="F55" s="65" t="n"/>
      <c r="G55" s="65" t="n"/>
      <c r="H55" s="66" t="n"/>
      <c r="I55" s="94">
        <f>IF(Funções!D45&lt;&gt;"",Funções!D45,"")</f>
        <v/>
      </c>
      <c r="J55" s="94">
        <f>IF(Funções!F45&lt;&gt;"",Funções!F45,"")</f>
        <v/>
      </c>
      <c r="K55" s="94">
        <f>IF(Funções!H45&lt;&gt;"",Funções!H45,"")</f>
        <v/>
      </c>
      <c r="L55" s="94">
        <f>IF(Funções!M45&lt;&gt;"",Funções!M45,"")</f>
        <v/>
      </c>
      <c r="M55" s="94">
        <f>IF(Funções!N45&lt;&gt;"",Funções!N45,"")</f>
        <v/>
      </c>
      <c r="N55" s="94">
        <f>IF(Funções!E45&lt;&gt;"",Funções!E45,"")</f>
        <v/>
      </c>
      <c r="O55" s="94">
        <f>L55</f>
        <v/>
      </c>
      <c r="P55" s="43">
        <f>IF(Funções!P45&lt;&gt;"",Funções!P45,"")</f>
        <v/>
      </c>
    </row>
    <row r="56" hidden="1" ht="14.25" customHeight="1" s="30">
      <c r="B56" s="42">
        <f>IF(Funções!B46&lt;&gt;"",Funções!B46,"")</f>
        <v/>
      </c>
      <c r="C56" s="67">
        <f>IF(Funções!C46&lt;&gt;"",Funções!C46,"")</f>
        <v/>
      </c>
      <c r="D56" s="65" t="n"/>
      <c r="E56" s="65" t="n"/>
      <c r="F56" s="65" t="n"/>
      <c r="G56" s="65" t="n"/>
      <c r="H56" s="66" t="n"/>
      <c r="I56" s="94">
        <f>IF(Funções!D46&lt;&gt;"",Funções!D46,"")</f>
        <v/>
      </c>
      <c r="J56" s="94">
        <f>IF(Funções!F46&lt;&gt;"",Funções!F46,"")</f>
        <v/>
      </c>
      <c r="K56" s="94">
        <f>IF(Funções!H46&lt;&gt;"",Funções!H46,"")</f>
        <v/>
      </c>
      <c r="L56" s="94">
        <f>IF(Funções!M46&lt;&gt;"",Funções!M46,"")</f>
        <v/>
      </c>
      <c r="M56" s="94">
        <f>IF(Funções!N46&lt;&gt;"",Funções!N46,"")</f>
        <v/>
      </c>
      <c r="N56" s="94">
        <f>IF(Funções!E46&lt;&gt;"",Funções!E46,"")</f>
        <v/>
      </c>
      <c r="O56" s="94">
        <f>L56</f>
        <v/>
      </c>
      <c r="P56" s="43">
        <f>IF(Funções!P46&lt;&gt;"",Funções!P46,"")</f>
        <v/>
      </c>
    </row>
    <row r="57" hidden="1" ht="15" customHeight="1" s="30">
      <c r="B57" s="42">
        <f>IF(Funções!B47&lt;&gt;"",Funções!B47,"")</f>
        <v/>
      </c>
      <c r="C57" s="67">
        <f>IF(Funções!C47&lt;&gt;"",Funções!C47,"")</f>
        <v/>
      </c>
      <c r="D57" s="65" t="n"/>
      <c r="E57" s="65" t="n"/>
      <c r="F57" s="65" t="n"/>
      <c r="G57" s="65" t="n"/>
      <c r="H57" s="66" t="n"/>
      <c r="I57" s="94">
        <f>IF(Funções!D47&lt;&gt;"",Funções!D47,"")</f>
        <v/>
      </c>
      <c r="J57" s="94">
        <f>IF(Funções!F47&lt;&gt;"",Funções!F47,"")</f>
        <v/>
      </c>
      <c r="K57" s="94">
        <f>IF(Funções!H47&lt;&gt;"",Funções!H47,"")</f>
        <v/>
      </c>
      <c r="L57" s="94">
        <f>IF(Funções!M47&lt;&gt;"",Funções!M47,"")</f>
        <v/>
      </c>
      <c r="M57" s="94">
        <f>IF(Funções!N47&lt;&gt;"",Funções!N47,"")</f>
        <v/>
      </c>
      <c r="N57" s="94">
        <f>IF(Funções!E47&lt;&gt;"",Funções!E47,"")</f>
        <v/>
      </c>
      <c r="O57" s="94">
        <f>L57</f>
        <v/>
      </c>
      <c r="P57" s="43">
        <f>IF(Funções!P47&lt;&gt;"",Funções!P47,"")</f>
        <v/>
      </c>
    </row>
    <row r="58" hidden="1" ht="15" customHeight="1" s="30">
      <c r="B58" s="42">
        <f>IF(Funções!B48&lt;&gt;"",Funções!B48,"")</f>
        <v/>
      </c>
      <c r="C58" s="67">
        <f>IF(Funções!C48&lt;&gt;"",Funções!C48,"")</f>
        <v/>
      </c>
      <c r="D58" s="65" t="n"/>
      <c r="E58" s="65" t="n"/>
      <c r="F58" s="65" t="n"/>
      <c r="G58" s="65" t="n"/>
      <c r="H58" s="66" t="n"/>
      <c r="I58" s="94">
        <f>IF(Funções!D48&lt;&gt;"",Funções!D48,"")</f>
        <v/>
      </c>
      <c r="J58" s="94">
        <f>IF(Funções!F48&lt;&gt;"",Funções!F48,"")</f>
        <v/>
      </c>
      <c r="K58" s="94">
        <f>IF(Funções!H48&lt;&gt;"",Funções!H48,"")</f>
        <v/>
      </c>
      <c r="L58" s="94">
        <f>IF(Funções!M48&lt;&gt;"",Funções!M48,"")</f>
        <v/>
      </c>
      <c r="M58" s="94">
        <f>IF(Funções!N48&lt;&gt;"",Funções!N48,"")</f>
        <v/>
      </c>
      <c r="N58" s="94">
        <f>IF(Funções!E48&lt;&gt;"",Funções!E48,"")</f>
        <v/>
      </c>
      <c r="O58" s="94">
        <f>L58</f>
        <v/>
      </c>
      <c r="P58" s="43">
        <f>IF(Funções!P48&lt;&gt;"",Funções!P48,"")</f>
        <v/>
      </c>
    </row>
    <row r="59" hidden="1" ht="14.25" customHeight="1" s="30">
      <c r="B59" s="42">
        <f>IF(Funções!B49&lt;&gt;"",Funções!B49,"")</f>
        <v/>
      </c>
      <c r="C59" s="67">
        <f>IF(Funções!C49&lt;&gt;"",Funções!C49,"")</f>
        <v/>
      </c>
      <c r="D59" s="65" t="n"/>
      <c r="E59" s="65" t="n"/>
      <c r="F59" s="65" t="n"/>
      <c r="G59" s="65" t="n"/>
      <c r="H59" s="66" t="n"/>
      <c r="I59" s="94">
        <f>IF(Funções!D49&lt;&gt;"",Funções!D49,"")</f>
        <v/>
      </c>
      <c r="J59" s="94">
        <f>IF(Funções!F49&lt;&gt;"",Funções!F49,"")</f>
        <v/>
      </c>
      <c r="K59" s="94">
        <f>IF(Funções!H49&lt;&gt;"",Funções!H49,"")</f>
        <v/>
      </c>
      <c r="L59" s="94">
        <f>IF(Funções!M49&lt;&gt;"",Funções!M49,"")</f>
        <v/>
      </c>
      <c r="M59" s="94">
        <f>IF(Funções!N49&lt;&gt;"",Funções!N49,"")</f>
        <v/>
      </c>
      <c r="N59" s="94">
        <f>IF(Funções!E49&lt;&gt;"",Funções!E49,"")</f>
        <v/>
      </c>
      <c r="O59" s="94">
        <f>L59</f>
        <v/>
      </c>
      <c r="P59" s="43">
        <f>IF(Funções!P49&lt;&gt;"",Funções!P49,"")</f>
        <v/>
      </c>
    </row>
    <row r="60" hidden="1" ht="15" customHeight="1" s="30">
      <c r="B60" s="42">
        <f>IF(Funções!B50&lt;&gt;"",Funções!B50,"")</f>
        <v/>
      </c>
      <c r="C60" s="67">
        <f>IF(Funções!C50&lt;&gt;"",Funções!C50,"")</f>
        <v/>
      </c>
      <c r="D60" s="65" t="n"/>
      <c r="E60" s="65" t="n"/>
      <c r="F60" s="65" t="n"/>
      <c r="G60" s="65" t="n"/>
      <c r="H60" s="66" t="n"/>
      <c r="I60" s="94">
        <f>IF(Funções!D50&lt;&gt;"",Funções!D50,"")</f>
        <v/>
      </c>
      <c r="J60" s="94">
        <f>IF(Funções!F50&lt;&gt;"",Funções!F50,"")</f>
        <v/>
      </c>
      <c r="K60" s="94">
        <f>IF(Funções!H50&lt;&gt;"",Funções!H50,"")</f>
        <v/>
      </c>
      <c r="L60" s="94">
        <f>IF(Funções!M50&lt;&gt;"",Funções!M50,"")</f>
        <v/>
      </c>
      <c r="M60" s="94">
        <f>IF(Funções!N50&lt;&gt;"",Funções!N50,"")</f>
        <v/>
      </c>
      <c r="N60" s="94">
        <f>IF(Funções!E50&lt;&gt;"",Funções!E50,"")</f>
        <v/>
      </c>
      <c r="O60" s="94">
        <f>L60</f>
        <v/>
      </c>
      <c r="P60" s="43">
        <f>IF(Funções!P50&lt;&gt;"",Funções!P50,"")</f>
        <v/>
      </c>
    </row>
    <row r="61" hidden="1" ht="15" customHeight="1" s="30">
      <c r="B61" s="42">
        <f>IF(Funções!B51&lt;&gt;"",Funções!B51,"")</f>
        <v/>
      </c>
      <c r="C61" s="67">
        <f>IF(Funções!C51&lt;&gt;"",Funções!C51,"")</f>
        <v/>
      </c>
      <c r="D61" s="65" t="n"/>
      <c r="E61" s="65" t="n"/>
      <c r="F61" s="65" t="n"/>
      <c r="G61" s="65" t="n"/>
      <c r="H61" s="66" t="n"/>
      <c r="I61" s="94">
        <f>IF(Funções!D51&lt;&gt;"",Funções!D51,"")</f>
        <v/>
      </c>
      <c r="J61" s="94">
        <f>IF(Funções!F51&lt;&gt;"",Funções!F51,"")</f>
        <v/>
      </c>
      <c r="K61" s="94">
        <f>IF(Funções!H51&lt;&gt;"",Funções!H51,"")</f>
        <v/>
      </c>
      <c r="L61" s="94">
        <f>IF(Funções!M51&lt;&gt;"",Funções!M51,"")</f>
        <v/>
      </c>
      <c r="M61" s="94">
        <f>IF(Funções!N51&lt;&gt;"",Funções!N51,"")</f>
        <v/>
      </c>
      <c r="N61" s="94">
        <f>IF(Funções!E51&lt;&gt;"",Funções!E51,"")</f>
        <v/>
      </c>
      <c r="O61" s="94">
        <f>L61</f>
        <v/>
      </c>
      <c r="P61" s="43">
        <f>IF(Funções!P51&lt;&gt;"",Funções!P51,"")</f>
        <v/>
      </c>
    </row>
    <row r="62" hidden="1" ht="15" customHeight="1" s="30">
      <c r="B62" s="42">
        <f>IF(Funções!B52&lt;&gt;"",Funções!B52,"")</f>
        <v/>
      </c>
      <c r="C62" s="67">
        <f>IF(Funções!C52&lt;&gt;"",Funções!C52,"")</f>
        <v/>
      </c>
      <c r="D62" s="65" t="n"/>
      <c r="E62" s="65" t="n"/>
      <c r="F62" s="65" t="n"/>
      <c r="G62" s="65" t="n"/>
      <c r="H62" s="66" t="n"/>
      <c r="I62" s="94">
        <f>IF(Funções!D52&lt;&gt;"",Funções!D52,"")</f>
        <v/>
      </c>
      <c r="J62" s="94">
        <f>IF(Funções!F52&lt;&gt;"",Funções!F52,"")</f>
        <v/>
      </c>
      <c r="K62" s="94">
        <f>IF(Funções!H52&lt;&gt;"",Funções!H52,"")</f>
        <v/>
      </c>
      <c r="L62" s="94">
        <f>IF(Funções!M52&lt;&gt;"",Funções!M52,"")</f>
        <v/>
      </c>
      <c r="M62" s="94">
        <f>IF(Funções!N52&lt;&gt;"",Funções!N52,"")</f>
        <v/>
      </c>
      <c r="N62" s="94">
        <f>IF(Funções!E52&lt;&gt;"",Funções!E52,"")</f>
        <v/>
      </c>
      <c r="O62" s="94">
        <f>L62</f>
        <v/>
      </c>
      <c r="P62" s="43">
        <f>IF(Funções!P52&lt;&gt;"",Funções!P52,"")</f>
        <v/>
      </c>
    </row>
    <row r="63" hidden="1" ht="15" customHeight="1" s="30">
      <c r="B63" s="42">
        <f>IF(Funções!B53&lt;&gt;"",Funções!B53,"")</f>
        <v/>
      </c>
      <c r="C63" s="67">
        <f>IF(Funções!C53&lt;&gt;"",Funções!C53,"")</f>
        <v/>
      </c>
      <c r="D63" s="65" t="n"/>
      <c r="E63" s="65" t="n"/>
      <c r="F63" s="65" t="n"/>
      <c r="G63" s="65" t="n"/>
      <c r="H63" s="66" t="n"/>
      <c r="I63" s="94">
        <f>IF(Funções!D53&lt;&gt;"",Funções!D53,"")</f>
        <v/>
      </c>
      <c r="J63" s="94">
        <f>IF(Funções!F53&lt;&gt;"",Funções!F53,"")</f>
        <v/>
      </c>
      <c r="K63" s="94">
        <f>IF(Funções!H53&lt;&gt;"",Funções!H53,"")</f>
        <v/>
      </c>
      <c r="L63" s="94">
        <f>IF(Funções!M53&lt;&gt;"",Funções!M53,"")</f>
        <v/>
      </c>
      <c r="M63" s="94">
        <f>IF(Funções!N53&lt;&gt;"",Funções!N53,"")</f>
        <v/>
      </c>
      <c r="N63" s="94">
        <f>IF(Funções!E53&lt;&gt;"",Funções!E53,"")</f>
        <v/>
      </c>
      <c r="O63" s="94">
        <f>L63</f>
        <v/>
      </c>
      <c r="P63" s="43">
        <f>IF(Funções!P53&lt;&gt;"",Funções!P53,"")</f>
        <v/>
      </c>
    </row>
    <row r="64" hidden="1" ht="15" customHeight="1" s="30">
      <c r="B64" s="42">
        <f>IF(Funções!B54&lt;&gt;"",Funções!B54,"")</f>
        <v/>
      </c>
      <c r="C64" s="67">
        <f>IF(Funções!C54&lt;&gt;"",Funções!C54,"")</f>
        <v/>
      </c>
      <c r="D64" s="65" t="n"/>
      <c r="E64" s="65" t="n"/>
      <c r="F64" s="65" t="n"/>
      <c r="G64" s="65" t="n"/>
      <c r="H64" s="66" t="n"/>
      <c r="I64" s="94">
        <f>IF(Funções!D54&lt;&gt;"",Funções!D54,"")</f>
        <v/>
      </c>
      <c r="J64" s="94">
        <f>IF(Funções!F54&lt;&gt;"",Funções!F54,"")</f>
        <v/>
      </c>
      <c r="K64" s="94">
        <f>IF(Funções!H54&lt;&gt;"",Funções!H54,"")</f>
        <v/>
      </c>
      <c r="L64" s="94">
        <f>IF(Funções!M54&lt;&gt;"",Funções!M54,"")</f>
        <v/>
      </c>
      <c r="M64" s="94">
        <f>IF(Funções!N54&lt;&gt;"",Funções!N54,"")</f>
        <v/>
      </c>
      <c r="N64" s="94">
        <f>IF(Funções!E54&lt;&gt;"",Funções!E54,"")</f>
        <v/>
      </c>
      <c r="O64" s="94">
        <f>L64</f>
        <v/>
      </c>
      <c r="P64" s="43">
        <f>IF(Funções!P54&lt;&gt;"",Funções!P54,"")</f>
        <v/>
      </c>
    </row>
    <row r="65" hidden="1" ht="15" customHeight="1" s="30">
      <c r="B65" s="42">
        <f>IF(Funções!B55&lt;&gt;"",Funções!B55,"")</f>
        <v/>
      </c>
      <c r="C65" s="67">
        <f>IF(Funções!C55&lt;&gt;"",Funções!C55,"")</f>
        <v/>
      </c>
      <c r="D65" s="65" t="n"/>
      <c r="E65" s="65" t="n"/>
      <c r="F65" s="65" t="n"/>
      <c r="G65" s="65" t="n"/>
      <c r="H65" s="66" t="n"/>
      <c r="I65" s="94">
        <f>IF(Funções!D55&lt;&gt;"",Funções!D55,"")</f>
        <v/>
      </c>
      <c r="J65" s="94">
        <f>IF(Funções!F55&lt;&gt;"",Funções!F55,"")</f>
        <v/>
      </c>
      <c r="K65" s="94">
        <f>IF(Funções!H55&lt;&gt;"",Funções!H55,"")</f>
        <v/>
      </c>
      <c r="L65" s="94">
        <f>IF(Funções!M55&lt;&gt;"",Funções!M55,"")</f>
        <v/>
      </c>
      <c r="M65" s="94">
        <f>IF(Funções!N55&lt;&gt;"",Funções!N55,"")</f>
        <v/>
      </c>
      <c r="N65" s="94">
        <f>IF(Funções!E55&lt;&gt;"",Funções!E55,"")</f>
        <v/>
      </c>
      <c r="O65" s="94">
        <f>L65</f>
        <v/>
      </c>
      <c r="P65" s="43">
        <f>IF(Funções!P55&lt;&gt;"",Funções!P55,"")</f>
        <v/>
      </c>
    </row>
    <row r="66" hidden="1" ht="15" customHeight="1" s="30">
      <c r="B66" s="42">
        <f>IF(Funções!B56&lt;&gt;"",Funções!B56,"")</f>
        <v/>
      </c>
      <c r="C66" s="67">
        <f>IF(Funções!C56&lt;&gt;"",Funções!C56,"")</f>
        <v/>
      </c>
      <c r="D66" s="65" t="n"/>
      <c r="E66" s="65" t="n"/>
      <c r="F66" s="65" t="n"/>
      <c r="G66" s="65" t="n"/>
      <c r="H66" s="66" t="n"/>
      <c r="I66" s="94">
        <f>IF(Funções!D56&lt;&gt;"",Funções!D56,"")</f>
        <v/>
      </c>
      <c r="J66" s="94">
        <f>IF(Funções!F56&lt;&gt;"",Funções!F56,"")</f>
        <v/>
      </c>
      <c r="K66" s="94">
        <f>IF(Funções!H56&lt;&gt;"",Funções!H56,"")</f>
        <v/>
      </c>
      <c r="L66" s="94">
        <f>IF(Funções!M56&lt;&gt;"",Funções!M56,"")</f>
        <v/>
      </c>
      <c r="M66" s="94">
        <f>IF(Funções!N56&lt;&gt;"",Funções!N56,"")</f>
        <v/>
      </c>
      <c r="N66" s="94">
        <f>IF(Funções!E56&lt;&gt;"",Funções!E56,"")</f>
        <v/>
      </c>
      <c r="O66" s="94">
        <f>L66</f>
        <v/>
      </c>
      <c r="P66" s="43">
        <f>IF(Funções!P56&lt;&gt;"",Funções!P56,"")</f>
        <v/>
      </c>
    </row>
    <row r="67" hidden="1" ht="15" customHeight="1" s="30">
      <c r="B67" s="42">
        <f>IF(Funções!B57&lt;&gt;"",Funções!B57,"")</f>
        <v/>
      </c>
      <c r="C67" s="67">
        <f>IF(Funções!C57&lt;&gt;"",Funções!C57,"")</f>
        <v/>
      </c>
      <c r="D67" s="65" t="n"/>
      <c r="E67" s="65" t="n"/>
      <c r="F67" s="65" t="n"/>
      <c r="G67" s="65" t="n"/>
      <c r="H67" s="66" t="n"/>
      <c r="I67" s="94">
        <f>IF(Funções!D57&lt;&gt;"",Funções!D57,"")</f>
        <v/>
      </c>
      <c r="J67" s="94">
        <f>IF(Funções!F57&lt;&gt;"",Funções!F57,"")</f>
        <v/>
      </c>
      <c r="K67" s="94">
        <f>IF(Funções!H57&lt;&gt;"",Funções!H57,"")</f>
        <v/>
      </c>
      <c r="L67" s="94">
        <f>IF(Funções!M57&lt;&gt;"",Funções!M57,"")</f>
        <v/>
      </c>
      <c r="M67" s="94">
        <f>IF(Funções!N57&lt;&gt;"",Funções!N57,"")</f>
        <v/>
      </c>
      <c r="N67" s="94">
        <f>IF(Funções!E57&lt;&gt;"",Funções!E57,"")</f>
        <v/>
      </c>
      <c r="O67" s="94">
        <f>L67</f>
        <v/>
      </c>
      <c r="P67" s="43">
        <f>IF(Funções!P57&lt;&gt;"",Funções!P57,"")</f>
        <v/>
      </c>
    </row>
    <row r="68" hidden="1" ht="14.25" customHeight="1" s="30">
      <c r="B68" s="42">
        <f>IF(Funções!B58&lt;&gt;"",Funções!B58,"")</f>
        <v/>
      </c>
      <c r="C68" s="67">
        <f>IF(Funções!C58&lt;&gt;"",Funções!C58,"")</f>
        <v/>
      </c>
      <c r="D68" s="65" t="n"/>
      <c r="E68" s="65" t="n"/>
      <c r="F68" s="65" t="n"/>
      <c r="G68" s="65" t="n"/>
      <c r="H68" s="66" t="n"/>
      <c r="I68" s="94">
        <f>IF(Funções!D58&lt;&gt;"",Funções!D58,"")</f>
        <v/>
      </c>
      <c r="J68" s="94">
        <f>IF(Funções!F58&lt;&gt;"",Funções!F58,"")</f>
        <v/>
      </c>
      <c r="K68" s="94">
        <f>IF(Funções!H58&lt;&gt;"",Funções!H58,"")</f>
        <v/>
      </c>
      <c r="L68" s="94">
        <f>IF(Funções!M58&lt;&gt;"",Funções!M58,"")</f>
        <v/>
      </c>
      <c r="M68" s="94">
        <f>IF(Funções!N58&lt;&gt;"",Funções!N58,"")</f>
        <v/>
      </c>
      <c r="N68" s="94">
        <f>IF(Funções!E58&lt;&gt;"",Funções!E58,"")</f>
        <v/>
      </c>
      <c r="O68" s="94">
        <f>L68</f>
        <v/>
      </c>
      <c r="P68" s="43">
        <f>IF(Funções!P58&lt;&gt;"",Funções!P58,"")</f>
        <v/>
      </c>
    </row>
    <row r="69" hidden="1" ht="15" customHeight="1" s="30">
      <c r="B69" s="42">
        <f>IF(Funções!B59&lt;&gt;"",Funções!B59,"")</f>
        <v/>
      </c>
      <c r="C69" s="67">
        <f>IF(Funções!C59&lt;&gt;"",Funções!C59,"")</f>
        <v/>
      </c>
      <c r="D69" s="65" t="n"/>
      <c r="E69" s="65" t="n"/>
      <c r="F69" s="65" t="n"/>
      <c r="G69" s="65" t="n"/>
      <c r="H69" s="66" t="n"/>
      <c r="I69" s="94">
        <f>IF(Funções!D59&lt;&gt;"",Funções!D59,"")</f>
        <v/>
      </c>
      <c r="J69" s="94">
        <f>IF(Funções!F59&lt;&gt;"",Funções!F59,"")</f>
        <v/>
      </c>
      <c r="K69" s="94">
        <f>IF(Funções!H59&lt;&gt;"",Funções!H59,"")</f>
        <v/>
      </c>
      <c r="L69" s="94">
        <f>IF(Funções!M59&lt;&gt;"",Funções!M59,"")</f>
        <v/>
      </c>
      <c r="M69" s="94">
        <f>IF(Funções!N59&lt;&gt;"",Funções!N59,"")</f>
        <v/>
      </c>
      <c r="N69" s="94">
        <f>IF(Funções!E59&lt;&gt;"",Funções!E59,"")</f>
        <v/>
      </c>
      <c r="O69" s="94">
        <f>L69</f>
        <v/>
      </c>
      <c r="P69" s="43">
        <f>IF(Funções!P59&lt;&gt;"",Funções!P59,"")</f>
        <v/>
      </c>
    </row>
    <row r="70" hidden="1" ht="15" customHeight="1" s="30">
      <c r="B70" s="42">
        <f>IF(Funções!B60&lt;&gt;"",Funções!B60,"")</f>
        <v/>
      </c>
      <c r="C70" s="67">
        <f>IF(Funções!C60&lt;&gt;"",Funções!C60,"")</f>
        <v/>
      </c>
      <c r="D70" s="65" t="n"/>
      <c r="E70" s="65" t="n"/>
      <c r="F70" s="65" t="n"/>
      <c r="G70" s="65" t="n"/>
      <c r="H70" s="66" t="n"/>
      <c r="I70" s="94">
        <f>IF(Funções!D60&lt;&gt;"",Funções!D60,"")</f>
        <v/>
      </c>
      <c r="J70" s="94">
        <f>IF(Funções!F60&lt;&gt;"",Funções!F60,"")</f>
        <v/>
      </c>
      <c r="K70" s="94">
        <f>IF(Funções!H60&lt;&gt;"",Funções!H60,"")</f>
        <v/>
      </c>
      <c r="L70" s="94">
        <f>IF(Funções!M60&lt;&gt;"",Funções!M60,"")</f>
        <v/>
      </c>
      <c r="M70" s="94">
        <f>IF(Funções!N60&lt;&gt;"",Funções!N60,"")</f>
        <v/>
      </c>
      <c r="N70" s="94">
        <f>IF(Funções!E60&lt;&gt;"",Funções!E60,"")</f>
        <v/>
      </c>
      <c r="O70" s="94">
        <f>L70</f>
        <v/>
      </c>
      <c r="P70" s="43">
        <f>IF(Funções!P60&lt;&gt;"",Funções!P60,"")</f>
        <v/>
      </c>
    </row>
    <row r="71" hidden="1" ht="15" customHeight="1" s="30">
      <c r="B71" s="42">
        <f>IF(Funções!B61&lt;&gt;"",Funções!B61,"")</f>
        <v/>
      </c>
      <c r="C71" s="67">
        <f>IF(Funções!C61&lt;&gt;"",Funções!C61,"")</f>
        <v/>
      </c>
      <c r="D71" s="65" t="n"/>
      <c r="E71" s="65" t="n"/>
      <c r="F71" s="65" t="n"/>
      <c r="G71" s="65" t="n"/>
      <c r="H71" s="66" t="n"/>
      <c r="I71" s="94">
        <f>IF(Funções!D61&lt;&gt;"",Funções!D61,"")</f>
        <v/>
      </c>
      <c r="J71" s="94">
        <f>IF(Funções!F61&lt;&gt;"",Funções!F61,"")</f>
        <v/>
      </c>
      <c r="K71" s="94">
        <f>IF(Funções!H61&lt;&gt;"",Funções!H61,"")</f>
        <v/>
      </c>
      <c r="L71" s="94">
        <f>IF(Funções!M61&lt;&gt;"",Funções!M61,"")</f>
        <v/>
      </c>
      <c r="M71" s="94">
        <f>IF(Funções!N61&lt;&gt;"",Funções!N61,"")</f>
        <v/>
      </c>
      <c r="N71" s="94">
        <f>IF(Funções!E61&lt;&gt;"",Funções!E61,"")</f>
        <v/>
      </c>
      <c r="O71" s="94">
        <f>L71</f>
        <v/>
      </c>
      <c r="P71" s="43">
        <f>IF(Funções!P61&lt;&gt;"",Funções!P61,"")</f>
        <v/>
      </c>
    </row>
    <row r="72" hidden="1" ht="15" customHeight="1" s="30">
      <c r="B72" s="42">
        <f>IF(Funções!B62&lt;&gt;"",Funções!B62,"")</f>
        <v/>
      </c>
      <c r="C72" s="67">
        <f>IF(Funções!C62&lt;&gt;"",Funções!C62,"")</f>
        <v/>
      </c>
      <c r="D72" s="65" t="n"/>
      <c r="E72" s="65" t="n"/>
      <c r="F72" s="65" t="n"/>
      <c r="G72" s="65" t="n"/>
      <c r="H72" s="66" t="n"/>
      <c r="I72" s="94">
        <f>IF(Funções!D62&lt;&gt;"",Funções!D62,"")</f>
        <v/>
      </c>
      <c r="J72" s="94">
        <f>IF(Funções!F62&lt;&gt;"",Funções!F62,"")</f>
        <v/>
      </c>
      <c r="K72" s="94">
        <f>IF(Funções!H62&lt;&gt;"",Funções!H62,"")</f>
        <v/>
      </c>
      <c r="L72" s="94">
        <f>IF(Funções!M62&lt;&gt;"",Funções!M62,"")</f>
        <v/>
      </c>
      <c r="M72" s="94">
        <f>IF(Funções!N62&lt;&gt;"",Funções!N62,"")</f>
        <v/>
      </c>
      <c r="N72" s="94">
        <f>IF(Funções!E62&lt;&gt;"",Funções!E62,"")</f>
        <v/>
      </c>
      <c r="O72" s="94">
        <f>L72</f>
        <v/>
      </c>
      <c r="P72" s="43">
        <f>IF(Funções!P62&lt;&gt;"",Funções!P62,"")</f>
        <v/>
      </c>
    </row>
    <row r="73" hidden="1" ht="15" customHeight="1" s="30">
      <c r="B73" s="42">
        <f>IF(Funções!B63&lt;&gt;"",Funções!B63,"")</f>
        <v/>
      </c>
      <c r="C73" s="67">
        <f>IF(Funções!C63&lt;&gt;"",Funções!C63,"")</f>
        <v/>
      </c>
      <c r="D73" s="65" t="n"/>
      <c r="E73" s="65" t="n"/>
      <c r="F73" s="65" t="n"/>
      <c r="G73" s="65" t="n"/>
      <c r="H73" s="66" t="n"/>
      <c r="I73" s="94">
        <f>IF(Funções!D63&lt;&gt;"",Funções!D63,"")</f>
        <v/>
      </c>
      <c r="J73" s="94">
        <f>IF(Funções!F63&lt;&gt;"",Funções!F63,"")</f>
        <v/>
      </c>
      <c r="K73" s="94">
        <f>IF(Funções!H63&lt;&gt;"",Funções!H63,"")</f>
        <v/>
      </c>
      <c r="L73" s="94">
        <f>IF(Funções!M63&lt;&gt;"",Funções!M63,"")</f>
        <v/>
      </c>
      <c r="M73" s="94">
        <f>IF(Funções!N63&lt;&gt;"",Funções!N63,"")</f>
        <v/>
      </c>
      <c r="N73" s="94">
        <f>IF(Funções!E63&lt;&gt;"",Funções!E63,"")</f>
        <v/>
      </c>
      <c r="O73" s="94">
        <f>L73</f>
        <v/>
      </c>
      <c r="P73" s="43">
        <f>IF(Funções!P63&lt;&gt;"",Funções!P63,"")</f>
        <v/>
      </c>
    </row>
    <row r="74" hidden="1" ht="15" customHeight="1" s="30">
      <c r="B74" s="42">
        <f>IF(Funções!B64&lt;&gt;"",Funções!B64,"")</f>
        <v/>
      </c>
      <c r="C74" s="67">
        <f>IF(Funções!C64&lt;&gt;"",Funções!C64,"")</f>
        <v/>
      </c>
      <c r="D74" s="65" t="n"/>
      <c r="E74" s="65" t="n"/>
      <c r="F74" s="65" t="n"/>
      <c r="G74" s="65" t="n"/>
      <c r="H74" s="66" t="n"/>
      <c r="I74" s="94">
        <f>IF(Funções!D64&lt;&gt;"",Funções!D64,"")</f>
        <v/>
      </c>
      <c r="J74" s="94">
        <f>IF(Funções!F64&lt;&gt;"",Funções!F64,"")</f>
        <v/>
      </c>
      <c r="K74" s="94">
        <f>IF(Funções!H64&lt;&gt;"",Funções!H64,"")</f>
        <v/>
      </c>
      <c r="L74" s="94">
        <f>IF(Funções!M64&lt;&gt;"",Funções!M64,"")</f>
        <v/>
      </c>
      <c r="M74" s="94">
        <f>IF(Funções!N64&lt;&gt;"",Funções!N64,"")</f>
        <v/>
      </c>
      <c r="N74" s="94">
        <f>IF(Funções!E64&lt;&gt;"",Funções!E64,"")</f>
        <v/>
      </c>
      <c r="O74" s="94">
        <f>L74</f>
        <v/>
      </c>
      <c r="P74" s="43">
        <f>IF(Funções!P64&lt;&gt;"",Funções!P64,"")</f>
        <v/>
      </c>
    </row>
    <row r="75" hidden="1" ht="15" customHeight="1" s="30">
      <c r="B75" s="42">
        <f>IF(Funções!B65&lt;&gt;"",Funções!B65,"")</f>
        <v/>
      </c>
      <c r="C75" s="67">
        <f>IF(Funções!C65&lt;&gt;"",Funções!C65,"")</f>
        <v/>
      </c>
      <c r="D75" s="65" t="n"/>
      <c r="E75" s="65" t="n"/>
      <c r="F75" s="65" t="n"/>
      <c r="G75" s="65" t="n"/>
      <c r="H75" s="66" t="n"/>
      <c r="I75" s="94">
        <f>IF(Funções!D65&lt;&gt;"",Funções!D65,"")</f>
        <v/>
      </c>
      <c r="J75" s="94">
        <f>IF(Funções!F65&lt;&gt;"",Funções!F65,"")</f>
        <v/>
      </c>
      <c r="K75" s="94">
        <f>IF(Funções!H65&lt;&gt;"",Funções!H65,"")</f>
        <v/>
      </c>
      <c r="L75" s="94">
        <f>IF(Funções!M65&lt;&gt;"",Funções!M65,"")</f>
        <v/>
      </c>
      <c r="M75" s="94">
        <f>IF(Funções!N65&lt;&gt;"",Funções!N65,"")</f>
        <v/>
      </c>
      <c r="N75" s="94">
        <f>IF(Funções!E65&lt;&gt;"",Funções!E65,"")</f>
        <v/>
      </c>
      <c r="O75" s="94">
        <f>L75</f>
        <v/>
      </c>
      <c r="P75" s="43">
        <f>IF(Funções!P65&lt;&gt;"",Funções!P65,"")</f>
        <v/>
      </c>
    </row>
    <row r="76" hidden="1" ht="15" customHeight="1" s="30">
      <c r="B76" s="42">
        <f>IF(Funções!B66&lt;&gt;"",Funções!B66,"")</f>
        <v/>
      </c>
      <c r="C76" s="67">
        <f>IF(Funções!C66&lt;&gt;"",Funções!C66,"")</f>
        <v/>
      </c>
      <c r="D76" s="65" t="n"/>
      <c r="E76" s="65" t="n"/>
      <c r="F76" s="65" t="n"/>
      <c r="G76" s="65" t="n"/>
      <c r="H76" s="66" t="n"/>
      <c r="I76" s="94">
        <f>IF(Funções!D66&lt;&gt;"",Funções!D66,"")</f>
        <v/>
      </c>
      <c r="J76" s="94">
        <f>IF(Funções!F66&lt;&gt;"",Funções!F66,"")</f>
        <v/>
      </c>
      <c r="K76" s="94">
        <f>IF(Funções!H66&lt;&gt;"",Funções!H66,"")</f>
        <v/>
      </c>
      <c r="L76" s="94">
        <f>IF(Funções!M66&lt;&gt;"",Funções!M66,"")</f>
        <v/>
      </c>
      <c r="M76" s="94">
        <f>IF(Funções!N66&lt;&gt;"",Funções!N66,"")</f>
        <v/>
      </c>
      <c r="N76" s="94">
        <f>IF(Funções!E66&lt;&gt;"",Funções!E66,"")</f>
        <v/>
      </c>
      <c r="O76" s="94">
        <f>L76</f>
        <v/>
      </c>
      <c r="P76" s="43">
        <f>IF(Funções!P66&lt;&gt;"",Funções!P66,"")</f>
        <v/>
      </c>
    </row>
    <row r="77" hidden="1" ht="15" customHeight="1" s="30">
      <c r="B77" s="42">
        <f>IF(Funções!B67&lt;&gt;"",Funções!B67,"")</f>
        <v/>
      </c>
      <c r="C77" s="67">
        <f>IF(Funções!C67&lt;&gt;"",Funções!C67,"")</f>
        <v/>
      </c>
      <c r="D77" s="65" t="n"/>
      <c r="E77" s="65" t="n"/>
      <c r="F77" s="65" t="n"/>
      <c r="G77" s="65" t="n"/>
      <c r="H77" s="66" t="n"/>
      <c r="I77" s="94">
        <f>IF(Funções!D67&lt;&gt;"",Funções!D67,"")</f>
        <v/>
      </c>
      <c r="J77" s="94">
        <f>IF(Funções!F67&lt;&gt;"",Funções!F67,"")</f>
        <v/>
      </c>
      <c r="K77" s="94">
        <f>IF(Funções!H67&lt;&gt;"",Funções!H67,"")</f>
        <v/>
      </c>
      <c r="L77" s="94">
        <f>IF(Funções!M67&lt;&gt;"",Funções!M67,"")</f>
        <v/>
      </c>
      <c r="M77" s="94">
        <f>IF(Funções!N67&lt;&gt;"",Funções!N67,"")</f>
        <v/>
      </c>
      <c r="N77" s="94">
        <f>IF(Funções!E67&lt;&gt;"",Funções!E67,"")</f>
        <v/>
      </c>
      <c r="O77" s="94">
        <f>L77</f>
        <v/>
      </c>
      <c r="P77" s="43">
        <f>IF(Funções!P67&lt;&gt;"",Funções!P67,"")</f>
        <v/>
      </c>
    </row>
    <row r="78" hidden="1" ht="15" customHeight="1" s="30">
      <c r="B78" s="42">
        <f>IF(Funções!B68&lt;&gt;"",Funções!B68,"")</f>
        <v/>
      </c>
      <c r="C78" s="67">
        <f>IF(Funções!C68&lt;&gt;"",Funções!C68,"")</f>
        <v/>
      </c>
      <c r="D78" s="65" t="n"/>
      <c r="E78" s="65" t="n"/>
      <c r="F78" s="65" t="n"/>
      <c r="G78" s="65" t="n"/>
      <c r="H78" s="66" t="n"/>
      <c r="I78" s="94">
        <f>IF(Funções!D68&lt;&gt;"",Funções!D68,"")</f>
        <v/>
      </c>
      <c r="J78" s="94">
        <f>IF(Funções!F68&lt;&gt;"",Funções!F68,"")</f>
        <v/>
      </c>
      <c r="K78" s="94">
        <f>IF(Funções!H68&lt;&gt;"",Funções!H68,"")</f>
        <v/>
      </c>
      <c r="L78" s="94">
        <f>IF(Funções!M68&lt;&gt;"",Funções!M68,"")</f>
        <v/>
      </c>
      <c r="M78" s="94">
        <f>IF(Funções!N68&lt;&gt;"",Funções!N68,"")</f>
        <v/>
      </c>
      <c r="N78" s="94">
        <f>IF(Funções!E68&lt;&gt;"",Funções!E68,"")</f>
        <v/>
      </c>
      <c r="O78" s="94">
        <f>L78</f>
        <v/>
      </c>
      <c r="P78" s="43">
        <f>IF(Funções!P68&lt;&gt;"",Funções!P68,"")</f>
        <v/>
      </c>
    </row>
    <row r="79" hidden="1" ht="15" customHeight="1" s="30">
      <c r="B79" s="42">
        <f>IF(Funções!B69&lt;&gt;"",Funções!B69,"")</f>
        <v/>
      </c>
      <c r="C79" s="67">
        <f>IF(Funções!C69&lt;&gt;"",Funções!C69,"")</f>
        <v/>
      </c>
      <c r="D79" s="65" t="n"/>
      <c r="E79" s="65" t="n"/>
      <c r="F79" s="65" t="n"/>
      <c r="G79" s="65" t="n"/>
      <c r="H79" s="66" t="n"/>
      <c r="I79" s="94">
        <f>IF(Funções!D69&lt;&gt;"",Funções!D69,"")</f>
        <v/>
      </c>
      <c r="J79" s="94">
        <f>IF(Funções!F69&lt;&gt;"",Funções!F69,"")</f>
        <v/>
      </c>
      <c r="K79" s="94">
        <f>IF(Funções!H69&lt;&gt;"",Funções!H69,"")</f>
        <v/>
      </c>
      <c r="L79" s="94">
        <f>IF(Funções!M69&lt;&gt;"",Funções!M69,"")</f>
        <v/>
      </c>
      <c r="M79" s="94">
        <f>IF(Funções!N69&lt;&gt;"",Funções!N69,"")</f>
        <v/>
      </c>
      <c r="N79" s="94">
        <f>IF(Funções!E69&lt;&gt;"",Funções!E69,"")</f>
        <v/>
      </c>
      <c r="O79" s="94">
        <f>L79</f>
        <v/>
      </c>
      <c r="P79" s="43">
        <f>IF(Funções!P69&lt;&gt;"",Funções!P69,"")</f>
        <v/>
      </c>
    </row>
    <row r="80" hidden="1" ht="15" customHeight="1" s="30">
      <c r="B80" s="42">
        <f>IF(Funções!B70&lt;&gt;"",Funções!B70,"")</f>
        <v/>
      </c>
      <c r="C80" s="67">
        <f>IF(Funções!C70&lt;&gt;"",Funções!C70,"")</f>
        <v/>
      </c>
      <c r="D80" s="65" t="n"/>
      <c r="E80" s="65" t="n"/>
      <c r="F80" s="65" t="n"/>
      <c r="G80" s="65" t="n"/>
      <c r="H80" s="66" t="n"/>
      <c r="I80" s="94">
        <f>IF(Funções!D70&lt;&gt;"",Funções!D70,"")</f>
        <v/>
      </c>
      <c r="J80" s="94">
        <f>IF(Funções!F70&lt;&gt;"",Funções!F70,"")</f>
        <v/>
      </c>
      <c r="K80" s="94">
        <f>IF(Funções!H70&lt;&gt;"",Funções!H70,"")</f>
        <v/>
      </c>
      <c r="L80" s="94">
        <f>IF(Funções!M70&lt;&gt;"",Funções!M70,"")</f>
        <v/>
      </c>
      <c r="M80" s="94">
        <f>IF(Funções!N70&lt;&gt;"",Funções!N70,"")</f>
        <v/>
      </c>
      <c r="N80" s="94">
        <f>IF(Funções!E70&lt;&gt;"",Funções!E70,"")</f>
        <v/>
      </c>
      <c r="O80" s="94">
        <f>L80</f>
        <v/>
      </c>
      <c r="P80" s="43">
        <f>IF(Funções!P70&lt;&gt;"",Funções!P70,"")</f>
        <v/>
      </c>
    </row>
    <row r="81" hidden="1" ht="15" customHeight="1" s="30">
      <c r="B81" s="42">
        <f>IF(Funções!B71&lt;&gt;"",Funções!B71,"")</f>
        <v/>
      </c>
      <c r="C81" s="67">
        <f>IF(Funções!C71&lt;&gt;"",Funções!C71,"")</f>
        <v/>
      </c>
      <c r="D81" s="65" t="n"/>
      <c r="E81" s="65" t="n"/>
      <c r="F81" s="65" t="n"/>
      <c r="G81" s="65" t="n"/>
      <c r="H81" s="66" t="n"/>
      <c r="I81" s="94">
        <f>IF(Funções!D71&lt;&gt;"",Funções!D71,"")</f>
        <v/>
      </c>
      <c r="J81" s="94">
        <f>IF(Funções!F71&lt;&gt;"",Funções!F71,"")</f>
        <v/>
      </c>
      <c r="K81" s="94">
        <f>IF(Funções!H71&lt;&gt;"",Funções!H71,"")</f>
        <v/>
      </c>
      <c r="L81" s="94">
        <f>IF(Funções!M71&lt;&gt;"",Funções!M71,"")</f>
        <v/>
      </c>
      <c r="M81" s="94">
        <f>IF(Funções!N71&lt;&gt;"",Funções!N71,"")</f>
        <v/>
      </c>
      <c r="N81" s="94">
        <f>IF(Funções!E71&lt;&gt;"",Funções!E71,"")</f>
        <v/>
      </c>
      <c r="O81" s="94">
        <f>L81</f>
        <v/>
      </c>
      <c r="P81" s="43">
        <f>IF(Funções!P71&lt;&gt;"",Funções!P71,"")</f>
        <v/>
      </c>
    </row>
    <row r="82" hidden="1" ht="15" customHeight="1" s="30">
      <c r="B82" s="42">
        <f>IF(Funções!B72&lt;&gt;"",Funções!B72,"")</f>
        <v/>
      </c>
      <c r="C82" s="67">
        <f>IF(Funções!C72&lt;&gt;"",Funções!C72,"")</f>
        <v/>
      </c>
      <c r="D82" s="65" t="n"/>
      <c r="E82" s="65" t="n"/>
      <c r="F82" s="65" t="n"/>
      <c r="G82" s="65" t="n"/>
      <c r="H82" s="66" t="n"/>
      <c r="I82" s="94">
        <f>IF(Funções!D72&lt;&gt;"",Funções!D72,"")</f>
        <v/>
      </c>
      <c r="J82" s="94">
        <f>IF(Funções!F72&lt;&gt;"",Funções!F72,"")</f>
        <v/>
      </c>
      <c r="K82" s="94">
        <f>IF(Funções!H72&lt;&gt;"",Funções!H72,"")</f>
        <v/>
      </c>
      <c r="L82" s="94">
        <f>IF(Funções!M72&lt;&gt;"",Funções!M72,"")</f>
        <v/>
      </c>
      <c r="M82" s="94">
        <f>IF(Funções!N72&lt;&gt;"",Funções!N72,"")</f>
        <v/>
      </c>
      <c r="N82" s="94">
        <f>IF(Funções!E72&lt;&gt;"",Funções!E72,"")</f>
        <v/>
      </c>
      <c r="O82" s="94">
        <f>L82</f>
        <v/>
      </c>
      <c r="P82" s="43">
        <f>IF(Funções!P72&lt;&gt;"",Funções!P72,"")</f>
        <v/>
      </c>
    </row>
    <row r="83" hidden="1" ht="15" customHeight="1" s="30">
      <c r="B83" s="42">
        <f>IF(Funções!B73&lt;&gt;"",Funções!B73,"")</f>
        <v/>
      </c>
      <c r="C83" s="67">
        <f>IF(Funções!C73&lt;&gt;"",Funções!C73,"")</f>
        <v/>
      </c>
      <c r="D83" s="65" t="n"/>
      <c r="E83" s="65" t="n"/>
      <c r="F83" s="65" t="n"/>
      <c r="G83" s="65" t="n"/>
      <c r="H83" s="66" t="n"/>
      <c r="I83" s="94">
        <f>IF(Funções!D73&lt;&gt;"",Funções!D73,"")</f>
        <v/>
      </c>
      <c r="J83" s="94">
        <f>IF(Funções!F73&lt;&gt;"",Funções!F73,"")</f>
        <v/>
      </c>
      <c r="K83" s="94">
        <f>IF(Funções!H73&lt;&gt;"",Funções!H73,"")</f>
        <v/>
      </c>
      <c r="L83" s="94">
        <f>IF(Funções!M73&lt;&gt;"",Funções!M73,"")</f>
        <v/>
      </c>
      <c r="M83" s="94">
        <f>IF(Funções!N73&lt;&gt;"",Funções!N73,"")</f>
        <v/>
      </c>
      <c r="N83" s="94">
        <f>IF(Funções!E73&lt;&gt;"",Funções!E73,"")</f>
        <v/>
      </c>
      <c r="O83" s="94">
        <f>L83</f>
        <v/>
      </c>
      <c r="P83" s="43">
        <f>IF(Funções!P73&lt;&gt;"",Funções!P73,"")</f>
        <v/>
      </c>
    </row>
    <row r="84" hidden="1" ht="15" customHeight="1" s="30">
      <c r="B84" s="42">
        <f>IF(Funções!B74&lt;&gt;"",Funções!B74,"")</f>
        <v/>
      </c>
      <c r="C84" s="67">
        <f>IF(Funções!C74&lt;&gt;"",Funções!C74,"")</f>
        <v/>
      </c>
      <c r="D84" s="65" t="n"/>
      <c r="E84" s="65" t="n"/>
      <c r="F84" s="65" t="n"/>
      <c r="G84" s="65" t="n"/>
      <c r="H84" s="66" t="n"/>
      <c r="I84" s="94">
        <f>IF(Funções!D74&lt;&gt;"",Funções!D74,"")</f>
        <v/>
      </c>
      <c r="J84" s="94">
        <f>IF(Funções!F74&lt;&gt;"",Funções!F74,"")</f>
        <v/>
      </c>
      <c r="K84" s="94">
        <f>IF(Funções!H74&lt;&gt;"",Funções!H74,"")</f>
        <v/>
      </c>
      <c r="L84" s="94">
        <f>IF(Funções!M74&lt;&gt;"",Funções!M74,"")</f>
        <v/>
      </c>
      <c r="M84" s="94">
        <f>IF(Funções!N74&lt;&gt;"",Funções!N74,"")</f>
        <v/>
      </c>
      <c r="N84" s="94">
        <f>IF(Funções!E74&lt;&gt;"",Funções!E74,"")</f>
        <v/>
      </c>
      <c r="O84" s="94">
        <f>L84</f>
        <v/>
      </c>
      <c r="P84" s="43">
        <f>IF(Funções!P74&lt;&gt;"",Funções!P74,"")</f>
        <v/>
      </c>
    </row>
    <row r="85" hidden="1" ht="15" customHeight="1" s="30">
      <c r="B85" s="42">
        <f>IF(Funções!B75&lt;&gt;"",Funções!B75,"")</f>
        <v/>
      </c>
      <c r="C85" s="67">
        <f>IF(Funções!C75&lt;&gt;"",Funções!C75,"")</f>
        <v/>
      </c>
      <c r="D85" s="65" t="n"/>
      <c r="E85" s="65" t="n"/>
      <c r="F85" s="65" t="n"/>
      <c r="G85" s="65" t="n"/>
      <c r="H85" s="66" t="n"/>
      <c r="I85" s="94">
        <f>IF(Funções!D75&lt;&gt;"",Funções!D75,"")</f>
        <v/>
      </c>
      <c r="J85" s="94">
        <f>IF(Funções!F75&lt;&gt;"",Funções!F75,"")</f>
        <v/>
      </c>
      <c r="K85" s="94">
        <f>IF(Funções!H75&lt;&gt;"",Funções!H75,"")</f>
        <v/>
      </c>
      <c r="L85" s="94">
        <f>IF(Funções!M75&lt;&gt;"",Funções!M75,"")</f>
        <v/>
      </c>
      <c r="M85" s="94">
        <f>IF(Funções!N75&lt;&gt;"",Funções!N75,"")</f>
        <v/>
      </c>
      <c r="N85" s="94">
        <f>IF(Funções!E75&lt;&gt;"",Funções!E75,"")</f>
        <v/>
      </c>
      <c r="O85" s="94">
        <f>L85</f>
        <v/>
      </c>
      <c r="P85" s="43">
        <f>IF(Funções!P75&lt;&gt;"",Funções!P75,"")</f>
        <v/>
      </c>
    </row>
    <row r="86" hidden="1" ht="15" customHeight="1" s="30">
      <c r="B86" s="42">
        <f>IF(Funções!B76&lt;&gt;"",Funções!B76,"")</f>
        <v/>
      </c>
      <c r="C86" s="67">
        <f>IF(Funções!C76&lt;&gt;"",Funções!C76,"")</f>
        <v/>
      </c>
      <c r="D86" s="65" t="n"/>
      <c r="E86" s="65" t="n"/>
      <c r="F86" s="65" t="n"/>
      <c r="G86" s="65" t="n"/>
      <c r="H86" s="66" t="n"/>
      <c r="I86" s="94">
        <f>IF(Funções!D76&lt;&gt;"",Funções!D76,"")</f>
        <v/>
      </c>
      <c r="J86" s="94">
        <f>IF(Funções!F76&lt;&gt;"",Funções!F76,"")</f>
        <v/>
      </c>
      <c r="K86" s="94">
        <f>IF(Funções!H76&lt;&gt;"",Funções!H76,"")</f>
        <v/>
      </c>
      <c r="L86" s="94">
        <f>IF(Funções!M76&lt;&gt;"",Funções!M76,"")</f>
        <v/>
      </c>
      <c r="M86" s="94">
        <f>IF(Funções!N76&lt;&gt;"",Funções!N76,"")</f>
        <v/>
      </c>
      <c r="N86" s="94">
        <f>IF(Funções!E76&lt;&gt;"",Funções!E76,"")</f>
        <v/>
      </c>
      <c r="O86" s="94">
        <f>L86</f>
        <v/>
      </c>
      <c r="P86" s="43">
        <f>IF(Funções!P76&lt;&gt;"",Funções!P76,"")</f>
        <v/>
      </c>
    </row>
    <row r="87" hidden="1" ht="15" customHeight="1" s="30">
      <c r="B87" s="42">
        <f>IF(Funções!B77&lt;&gt;"",Funções!B77,"")</f>
        <v/>
      </c>
      <c r="C87" s="67">
        <f>IF(Funções!C77&lt;&gt;"",Funções!C77,"")</f>
        <v/>
      </c>
      <c r="D87" s="65" t="n"/>
      <c r="E87" s="65" t="n"/>
      <c r="F87" s="65" t="n"/>
      <c r="G87" s="65" t="n"/>
      <c r="H87" s="66" t="n"/>
      <c r="I87" s="94">
        <f>IF(Funções!D77&lt;&gt;"",Funções!D77,"")</f>
        <v/>
      </c>
      <c r="J87" s="94">
        <f>IF(Funções!F77&lt;&gt;"",Funções!F77,"")</f>
        <v/>
      </c>
      <c r="K87" s="94">
        <f>IF(Funções!H77&lt;&gt;"",Funções!H77,"")</f>
        <v/>
      </c>
      <c r="L87" s="94">
        <f>IF(Funções!M77&lt;&gt;"",Funções!M77,"")</f>
        <v/>
      </c>
      <c r="M87" s="94">
        <f>IF(Funções!N77&lt;&gt;"",Funções!N77,"")</f>
        <v/>
      </c>
      <c r="N87" s="94">
        <f>IF(Funções!E77&lt;&gt;"",Funções!E77,"")</f>
        <v/>
      </c>
      <c r="O87" s="94">
        <f>L87</f>
        <v/>
      </c>
      <c r="P87" s="43">
        <f>IF(Funções!P77&lt;&gt;"",Funções!P77,"")</f>
        <v/>
      </c>
    </row>
    <row r="88" hidden="1" ht="15" customHeight="1" s="30">
      <c r="B88" s="42">
        <f>IF(Funções!B78&lt;&gt;"",Funções!B78,"")</f>
        <v/>
      </c>
      <c r="C88" s="67">
        <f>IF(Funções!C78&lt;&gt;"",Funções!C78,"")</f>
        <v/>
      </c>
      <c r="D88" s="65" t="n"/>
      <c r="E88" s="65" t="n"/>
      <c r="F88" s="65" t="n"/>
      <c r="G88" s="65" t="n"/>
      <c r="H88" s="66" t="n"/>
      <c r="I88" s="94">
        <f>IF(Funções!D78&lt;&gt;"",Funções!D78,"")</f>
        <v/>
      </c>
      <c r="J88" s="94">
        <f>IF(Funções!F78&lt;&gt;"",Funções!F78,"")</f>
        <v/>
      </c>
      <c r="K88" s="94">
        <f>IF(Funções!H78&lt;&gt;"",Funções!H78,"")</f>
        <v/>
      </c>
      <c r="L88" s="94">
        <f>IF(Funções!M78&lt;&gt;"",Funções!M78,"")</f>
        <v/>
      </c>
      <c r="M88" s="94">
        <f>IF(Funções!N78&lt;&gt;"",Funções!N78,"")</f>
        <v/>
      </c>
      <c r="N88" s="94">
        <f>IF(Funções!E78&lt;&gt;"",Funções!E78,"")</f>
        <v/>
      </c>
      <c r="O88" s="94">
        <f>L88</f>
        <v/>
      </c>
      <c r="P88" s="43">
        <f>IF(Funções!P78&lt;&gt;"",Funções!P78,"")</f>
        <v/>
      </c>
    </row>
    <row r="89" hidden="1" ht="15" customHeight="1" s="30">
      <c r="B89" s="42">
        <f>IF(Funções!B79&lt;&gt;"",Funções!B79,"")</f>
        <v/>
      </c>
      <c r="C89" s="67">
        <f>IF(Funções!C79&lt;&gt;"",Funções!C79,"")</f>
        <v/>
      </c>
      <c r="D89" s="65" t="n"/>
      <c r="E89" s="65" t="n"/>
      <c r="F89" s="65" t="n"/>
      <c r="G89" s="65" t="n"/>
      <c r="H89" s="66" t="n"/>
      <c r="I89" s="94">
        <f>IF(Funções!D79&lt;&gt;"",Funções!D79,"")</f>
        <v/>
      </c>
      <c r="J89" s="94">
        <f>IF(Funções!F79&lt;&gt;"",Funções!F79,"")</f>
        <v/>
      </c>
      <c r="K89" s="94">
        <f>IF(Funções!H79&lt;&gt;"",Funções!H79,"")</f>
        <v/>
      </c>
      <c r="L89" s="94">
        <f>IF(Funções!M79&lt;&gt;"",Funções!M79,"")</f>
        <v/>
      </c>
      <c r="M89" s="94">
        <f>IF(Funções!N79&lt;&gt;"",Funções!N79,"")</f>
        <v/>
      </c>
      <c r="N89" s="94">
        <f>IF(Funções!E79&lt;&gt;"",Funções!E79,"")</f>
        <v/>
      </c>
      <c r="O89" s="94">
        <f>L89</f>
        <v/>
      </c>
      <c r="P89" s="43">
        <f>IF(Funções!P79&lt;&gt;"",Funções!P79,"")</f>
        <v/>
      </c>
    </row>
    <row r="90" hidden="1" ht="15" customHeight="1" s="30">
      <c r="B90" s="42">
        <f>IF(Funções!B80&lt;&gt;"",Funções!B80,"")</f>
        <v/>
      </c>
      <c r="C90" s="67">
        <f>IF(Funções!C80&lt;&gt;"",Funções!C80,"")</f>
        <v/>
      </c>
      <c r="D90" s="65" t="n"/>
      <c r="E90" s="65" t="n"/>
      <c r="F90" s="65" t="n"/>
      <c r="G90" s="65" t="n"/>
      <c r="H90" s="66" t="n"/>
      <c r="I90" s="94">
        <f>IF(Funções!D80&lt;&gt;"",Funções!D80,"")</f>
        <v/>
      </c>
      <c r="J90" s="94">
        <f>IF(Funções!F80&lt;&gt;"",Funções!F80,"")</f>
        <v/>
      </c>
      <c r="K90" s="94">
        <f>IF(Funções!H80&lt;&gt;"",Funções!H80,"")</f>
        <v/>
      </c>
      <c r="L90" s="94">
        <f>IF(Funções!M80&lt;&gt;"",Funções!M80,"")</f>
        <v/>
      </c>
      <c r="M90" s="94">
        <f>IF(Funções!N80&lt;&gt;"",Funções!N80,"")</f>
        <v/>
      </c>
      <c r="N90" s="94">
        <f>IF(Funções!E80&lt;&gt;"",Funções!E80,"")</f>
        <v/>
      </c>
      <c r="O90" s="94">
        <f>L90</f>
        <v/>
      </c>
      <c r="P90" s="43">
        <f>IF(Funções!P80&lt;&gt;"",Funções!P80,"")</f>
        <v/>
      </c>
    </row>
    <row r="91" hidden="1" ht="15" customHeight="1" s="30">
      <c r="B91" s="42">
        <f>IF(Funções!B81&lt;&gt;"",Funções!B81,"")</f>
        <v/>
      </c>
      <c r="C91" s="67">
        <f>IF(Funções!C81&lt;&gt;"",Funções!C81,"")</f>
        <v/>
      </c>
      <c r="D91" s="65" t="n"/>
      <c r="E91" s="65" t="n"/>
      <c r="F91" s="65" t="n"/>
      <c r="G91" s="65" t="n"/>
      <c r="H91" s="66" t="n"/>
      <c r="I91" s="94">
        <f>IF(Funções!D81&lt;&gt;"",Funções!D81,"")</f>
        <v/>
      </c>
      <c r="J91" s="94">
        <f>IF(Funções!F81&lt;&gt;"",Funções!F81,"")</f>
        <v/>
      </c>
      <c r="K91" s="94">
        <f>IF(Funções!H81&lt;&gt;"",Funções!H81,"")</f>
        <v/>
      </c>
      <c r="L91" s="94">
        <f>IF(Funções!M81&lt;&gt;"",Funções!M81,"")</f>
        <v/>
      </c>
      <c r="M91" s="94">
        <f>IF(Funções!N81&lt;&gt;"",Funções!N81,"")</f>
        <v/>
      </c>
      <c r="N91" s="94">
        <f>IF(Funções!E81&lt;&gt;"",Funções!E81,"")</f>
        <v/>
      </c>
      <c r="O91" s="94">
        <f>L91</f>
        <v/>
      </c>
      <c r="P91" s="43">
        <f>IF(Funções!P81&lt;&gt;"",Funções!P81,"")</f>
        <v/>
      </c>
    </row>
    <row r="92" hidden="1" ht="15" customHeight="1" s="30">
      <c r="B92" s="42">
        <f>IF(Funções!B82&lt;&gt;"",Funções!B82,"")</f>
        <v/>
      </c>
      <c r="C92" s="67">
        <f>IF(Funções!C82&lt;&gt;"",Funções!C82,"")</f>
        <v/>
      </c>
      <c r="D92" s="65" t="n"/>
      <c r="E92" s="65" t="n"/>
      <c r="F92" s="65" t="n"/>
      <c r="G92" s="65" t="n"/>
      <c r="H92" s="66" t="n"/>
      <c r="I92" s="94">
        <f>IF(Funções!D82&lt;&gt;"",Funções!D82,"")</f>
        <v/>
      </c>
      <c r="J92" s="94">
        <f>IF(Funções!F82&lt;&gt;"",Funções!F82,"")</f>
        <v/>
      </c>
      <c r="K92" s="94">
        <f>IF(Funções!H82&lt;&gt;"",Funções!H82,"")</f>
        <v/>
      </c>
      <c r="L92" s="94">
        <f>IF(Funções!M82&lt;&gt;"",Funções!M82,"")</f>
        <v/>
      </c>
      <c r="M92" s="94">
        <f>IF(Funções!N82&lt;&gt;"",Funções!N82,"")</f>
        <v/>
      </c>
      <c r="N92" s="94">
        <f>IF(Funções!E82&lt;&gt;"",Funções!E82,"")</f>
        <v/>
      </c>
      <c r="O92" s="94">
        <f>L92</f>
        <v/>
      </c>
      <c r="P92" s="43">
        <f>IF(Funções!P82&lt;&gt;"",Funções!P82,"")</f>
        <v/>
      </c>
    </row>
    <row r="93" hidden="1" ht="15" customHeight="1" s="30">
      <c r="B93" s="42">
        <f>IF(Funções!B83&lt;&gt;"",Funções!B83,"")</f>
        <v/>
      </c>
      <c r="C93" s="67">
        <f>IF(Funções!C83&lt;&gt;"",Funções!C83,"")</f>
        <v/>
      </c>
      <c r="D93" s="65" t="n"/>
      <c r="E93" s="65" t="n"/>
      <c r="F93" s="65" t="n"/>
      <c r="G93" s="65" t="n"/>
      <c r="H93" s="66" t="n"/>
      <c r="I93" s="94">
        <f>IF(Funções!D83&lt;&gt;"",Funções!D83,"")</f>
        <v/>
      </c>
      <c r="J93" s="94">
        <f>IF(Funções!F83&lt;&gt;"",Funções!F83,"")</f>
        <v/>
      </c>
      <c r="K93" s="94">
        <f>IF(Funções!H83&lt;&gt;"",Funções!H83,"")</f>
        <v/>
      </c>
      <c r="L93" s="94">
        <f>IF(Funções!M83&lt;&gt;"",Funções!M83,"")</f>
        <v/>
      </c>
      <c r="M93" s="94">
        <f>IF(Funções!N83&lt;&gt;"",Funções!N83,"")</f>
        <v/>
      </c>
      <c r="N93" s="94">
        <f>IF(Funções!E83&lt;&gt;"",Funções!E83,"")</f>
        <v/>
      </c>
      <c r="O93" s="94">
        <f>L93</f>
        <v/>
      </c>
      <c r="P93" s="43">
        <f>IF(Funções!P83&lt;&gt;"",Funções!P83,"")</f>
        <v/>
      </c>
    </row>
    <row r="94" hidden="1" ht="15" customHeight="1" s="30">
      <c r="B94" s="42">
        <f>IF(Funções!B84&lt;&gt;"",Funções!B84,"")</f>
        <v/>
      </c>
      <c r="C94" s="67">
        <f>IF(Funções!C84&lt;&gt;"",Funções!C84,"")</f>
        <v/>
      </c>
      <c r="D94" s="65" t="n"/>
      <c r="E94" s="65" t="n"/>
      <c r="F94" s="65" t="n"/>
      <c r="G94" s="65" t="n"/>
      <c r="H94" s="66" t="n"/>
      <c r="I94" s="94">
        <f>IF(Funções!D84&lt;&gt;"",Funções!D84,"")</f>
        <v/>
      </c>
      <c r="J94" s="94">
        <f>IF(Funções!F84&lt;&gt;"",Funções!F84,"")</f>
        <v/>
      </c>
      <c r="K94" s="94">
        <f>IF(Funções!H84&lt;&gt;"",Funções!H84,"")</f>
        <v/>
      </c>
      <c r="L94" s="94">
        <f>IF(Funções!M84&lt;&gt;"",Funções!M84,"")</f>
        <v/>
      </c>
      <c r="M94" s="94">
        <f>IF(Funções!N84&lt;&gt;"",Funções!N84,"")</f>
        <v/>
      </c>
      <c r="N94" s="94">
        <f>IF(Funções!E84&lt;&gt;"",Funções!E84,"")</f>
        <v/>
      </c>
      <c r="O94" s="94">
        <f>L94</f>
        <v/>
      </c>
      <c r="P94" s="43">
        <f>IF(Funções!P84&lt;&gt;"",Funções!P84,"")</f>
        <v/>
      </c>
    </row>
    <row r="95" hidden="1" ht="15" customHeight="1" s="30">
      <c r="B95" s="42">
        <f>IF(Funções!B85&lt;&gt;"",Funções!B85,"")</f>
        <v/>
      </c>
      <c r="C95" s="67">
        <f>IF(Funções!C85&lt;&gt;"",Funções!C85,"")</f>
        <v/>
      </c>
      <c r="D95" s="65" t="n"/>
      <c r="E95" s="65" t="n"/>
      <c r="F95" s="65" t="n"/>
      <c r="G95" s="65" t="n"/>
      <c r="H95" s="66" t="n"/>
      <c r="I95" s="94">
        <f>IF(Funções!D85&lt;&gt;"",Funções!D85,"")</f>
        <v/>
      </c>
      <c r="J95" s="94">
        <f>IF(Funções!F85&lt;&gt;"",Funções!F85,"")</f>
        <v/>
      </c>
      <c r="K95" s="94">
        <f>IF(Funções!H85&lt;&gt;"",Funções!H85,"")</f>
        <v/>
      </c>
      <c r="L95" s="94">
        <f>IF(Funções!M85&lt;&gt;"",Funções!M85,"")</f>
        <v/>
      </c>
      <c r="M95" s="94">
        <f>IF(Funções!N85&lt;&gt;"",Funções!N85,"")</f>
        <v/>
      </c>
      <c r="N95" s="94">
        <f>IF(Funções!E85&lt;&gt;"",Funções!E85,"")</f>
        <v/>
      </c>
      <c r="O95" s="94">
        <f>L95</f>
        <v/>
      </c>
      <c r="P95" s="43">
        <f>IF(Funções!P85&lt;&gt;"",Funções!P85,"")</f>
        <v/>
      </c>
    </row>
    <row r="96" hidden="1" ht="15" customHeight="1" s="30">
      <c r="B96" s="42">
        <f>IF(Funções!B86&lt;&gt;"",Funções!B86,"")</f>
        <v/>
      </c>
      <c r="C96" s="67">
        <f>IF(Funções!C86&lt;&gt;"",Funções!C86,"")</f>
        <v/>
      </c>
      <c r="D96" s="65" t="n"/>
      <c r="E96" s="65" t="n"/>
      <c r="F96" s="65" t="n"/>
      <c r="G96" s="65" t="n"/>
      <c r="H96" s="66" t="n"/>
      <c r="I96" s="94">
        <f>IF(Funções!D86&lt;&gt;"",Funções!D86,"")</f>
        <v/>
      </c>
      <c r="J96" s="94">
        <f>IF(Funções!F86&lt;&gt;"",Funções!F86,"")</f>
        <v/>
      </c>
      <c r="K96" s="94">
        <f>IF(Funções!H86&lt;&gt;"",Funções!H86,"")</f>
        <v/>
      </c>
      <c r="L96" s="94">
        <f>IF(Funções!M86&lt;&gt;"",Funções!M86,"")</f>
        <v/>
      </c>
      <c r="M96" s="94">
        <f>IF(Funções!N86&lt;&gt;"",Funções!N86,"")</f>
        <v/>
      </c>
      <c r="N96" s="94">
        <f>IF(Funções!E86&lt;&gt;"",Funções!E86,"")</f>
        <v/>
      </c>
      <c r="O96" s="94">
        <f>L96</f>
        <v/>
      </c>
      <c r="P96" s="43">
        <f>IF(Funções!P86&lt;&gt;"",Funções!P86,"")</f>
        <v/>
      </c>
    </row>
    <row r="97" hidden="1" ht="15" customHeight="1" s="30">
      <c r="B97" s="42">
        <f>IF(Funções!B87&lt;&gt;"",Funções!B87,"")</f>
        <v/>
      </c>
      <c r="C97" s="67">
        <f>IF(Funções!C87&lt;&gt;"",Funções!C87,"")</f>
        <v/>
      </c>
      <c r="D97" s="65" t="n"/>
      <c r="E97" s="65" t="n"/>
      <c r="F97" s="65" t="n"/>
      <c r="G97" s="65" t="n"/>
      <c r="H97" s="66" t="n"/>
      <c r="I97" s="94">
        <f>IF(Funções!D87&lt;&gt;"",Funções!D87,"")</f>
        <v/>
      </c>
      <c r="J97" s="94">
        <f>IF(Funções!F87&lt;&gt;"",Funções!F87,"")</f>
        <v/>
      </c>
      <c r="K97" s="94">
        <f>IF(Funções!H87&lt;&gt;"",Funções!H87,"")</f>
        <v/>
      </c>
      <c r="L97" s="94">
        <f>IF(Funções!M87&lt;&gt;"",Funções!M87,"")</f>
        <v/>
      </c>
      <c r="M97" s="94">
        <f>IF(Funções!N87&lt;&gt;"",Funções!N87,"")</f>
        <v/>
      </c>
      <c r="N97" s="94">
        <f>IF(Funções!E87&lt;&gt;"",Funções!E87,"")</f>
        <v/>
      </c>
      <c r="O97" s="94">
        <f>L97</f>
        <v/>
      </c>
      <c r="P97" s="43">
        <f>IF(Funções!P87&lt;&gt;"",Funções!P87,"")</f>
        <v/>
      </c>
    </row>
    <row r="98" hidden="1" ht="15" customHeight="1" s="30">
      <c r="B98" s="42">
        <f>IF(Funções!B88&lt;&gt;"",Funções!B88,"")</f>
        <v/>
      </c>
      <c r="C98" s="67">
        <f>IF(Funções!C88&lt;&gt;"",Funções!C88,"")</f>
        <v/>
      </c>
      <c r="D98" s="65" t="n"/>
      <c r="E98" s="65" t="n"/>
      <c r="F98" s="65" t="n"/>
      <c r="G98" s="65" t="n"/>
      <c r="H98" s="66" t="n"/>
      <c r="I98" s="94">
        <f>IF(Funções!D88&lt;&gt;"",Funções!D88,"")</f>
        <v/>
      </c>
      <c r="J98" s="94">
        <f>IF(Funções!F88&lt;&gt;"",Funções!F88,"")</f>
        <v/>
      </c>
      <c r="K98" s="94">
        <f>IF(Funções!H88&lt;&gt;"",Funções!H88,"")</f>
        <v/>
      </c>
      <c r="L98" s="94">
        <f>IF(Funções!M88&lt;&gt;"",Funções!M88,"")</f>
        <v/>
      </c>
      <c r="M98" s="94">
        <f>IF(Funções!N88&lt;&gt;"",Funções!N88,"")</f>
        <v/>
      </c>
      <c r="N98" s="94">
        <f>IF(Funções!E88&lt;&gt;"",Funções!E88,"")</f>
        <v/>
      </c>
      <c r="O98" s="94">
        <f>L98</f>
        <v/>
      </c>
      <c r="P98" s="43">
        <f>IF(Funções!P88&lt;&gt;"",Funções!P88,"")</f>
        <v/>
      </c>
    </row>
    <row r="99" hidden="1" ht="15" customHeight="1" s="30">
      <c r="B99" s="42">
        <f>IF(Funções!B89&lt;&gt;"",Funções!B89,"")</f>
        <v/>
      </c>
      <c r="C99" s="67">
        <f>IF(Funções!C89&lt;&gt;"",Funções!C89,"")</f>
        <v/>
      </c>
      <c r="D99" s="65" t="n"/>
      <c r="E99" s="65" t="n"/>
      <c r="F99" s="65" t="n"/>
      <c r="G99" s="65" t="n"/>
      <c r="H99" s="66" t="n"/>
      <c r="I99" s="94">
        <f>IF(Funções!D89&lt;&gt;"",Funções!D89,"")</f>
        <v/>
      </c>
      <c r="J99" s="94">
        <f>IF(Funções!F89&lt;&gt;"",Funções!F89,"")</f>
        <v/>
      </c>
      <c r="K99" s="94">
        <f>IF(Funções!H89&lt;&gt;"",Funções!H89,"")</f>
        <v/>
      </c>
      <c r="L99" s="94">
        <f>IF(Funções!M89&lt;&gt;"",Funções!M89,"")</f>
        <v/>
      </c>
      <c r="M99" s="94">
        <f>IF(Funções!N89&lt;&gt;"",Funções!N89,"")</f>
        <v/>
      </c>
      <c r="N99" s="94">
        <f>IF(Funções!E89&lt;&gt;"",Funções!E89,"")</f>
        <v/>
      </c>
      <c r="O99" s="94">
        <f>L99</f>
        <v/>
      </c>
      <c r="P99" s="43">
        <f>IF(Funções!P89&lt;&gt;"",Funções!P89,"")</f>
        <v/>
      </c>
    </row>
    <row r="100" hidden="1" ht="15" customHeight="1" s="30">
      <c r="B100" s="42">
        <f>IF(Funções!B90&lt;&gt;"",Funções!B90,"")</f>
        <v/>
      </c>
      <c r="C100" s="67">
        <f>IF(Funções!C90&lt;&gt;"",Funções!C90,"")</f>
        <v/>
      </c>
      <c r="D100" s="65" t="n"/>
      <c r="E100" s="65" t="n"/>
      <c r="F100" s="65" t="n"/>
      <c r="G100" s="65" t="n"/>
      <c r="H100" s="66" t="n"/>
      <c r="I100" s="94">
        <f>IF(Funções!D90&lt;&gt;"",Funções!D90,"")</f>
        <v/>
      </c>
      <c r="J100" s="94">
        <f>IF(Funções!F90&lt;&gt;"",Funções!F90,"")</f>
        <v/>
      </c>
      <c r="K100" s="94">
        <f>IF(Funções!H90&lt;&gt;"",Funções!H90,"")</f>
        <v/>
      </c>
      <c r="L100" s="94">
        <f>IF(Funções!M90&lt;&gt;"",Funções!M90,"")</f>
        <v/>
      </c>
      <c r="M100" s="94">
        <f>IF(Funções!N90&lt;&gt;"",Funções!N90,"")</f>
        <v/>
      </c>
      <c r="N100" s="94">
        <f>IF(Funções!E90&lt;&gt;"",Funções!E90,"")</f>
        <v/>
      </c>
      <c r="O100" s="94">
        <f>L100</f>
        <v/>
      </c>
      <c r="P100" s="43">
        <f>IF(Funções!P90&lt;&gt;"",Funções!P90,"")</f>
        <v/>
      </c>
    </row>
    <row r="101" hidden="1" ht="15" customHeight="1" s="30">
      <c r="B101" s="42">
        <f>IF(Funções!B91&lt;&gt;"",Funções!B91,"")</f>
        <v/>
      </c>
      <c r="C101" s="67">
        <f>IF(Funções!C91&lt;&gt;"",Funções!C91,"")</f>
        <v/>
      </c>
      <c r="D101" s="65" t="n"/>
      <c r="E101" s="65" t="n"/>
      <c r="F101" s="65" t="n"/>
      <c r="G101" s="65" t="n"/>
      <c r="H101" s="66" t="n"/>
      <c r="I101" s="94">
        <f>IF(Funções!D91&lt;&gt;"",Funções!D91,"")</f>
        <v/>
      </c>
      <c r="J101" s="94">
        <f>IF(Funções!F91&lt;&gt;"",Funções!F91,"")</f>
        <v/>
      </c>
      <c r="K101" s="94">
        <f>IF(Funções!H91&lt;&gt;"",Funções!H91,"")</f>
        <v/>
      </c>
      <c r="L101" s="94">
        <f>IF(Funções!M91&lt;&gt;"",Funções!M91,"")</f>
        <v/>
      </c>
      <c r="M101" s="94">
        <f>IF(Funções!N91&lt;&gt;"",Funções!N91,"")</f>
        <v/>
      </c>
      <c r="N101" s="94">
        <f>IF(Funções!E91&lt;&gt;"",Funções!E91,"")</f>
        <v/>
      </c>
      <c r="O101" s="94">
        <f>L101</f>
        <v/>
      </c>
      <c r="P101" s="43">
        <f>IF(Funções!P91&lt;&gt;"",Funções!P91,"")</f>
        <v/>
      </c>
    </row>
    <row r="102" hidden="1" ht="15" customHeight="1" s="30">
      <c r="B102" s="42">
        <f>IF(Funções!B92&lt;&gt;"",Funções!B92,"")</f>
        <v/>
      </c>
      <c r="C102" s="67">
        <f>IF(Funções!C92&lt;&gt;"",Funções!C92,"")</f>
        <v/>
      </c>
      <c r="D102" s="65" t="n"/>
      <c r="E102" s="65" t="n"/>
      <c r="F102" s="65" t="n"/>
      <c r="G102" s="65" t="n"/>
      <c r="H102" s="66" t="n"/>
      <c r="I102" s="94">
        <f>IF(Funções!D92&lt;&gt;"",Funções!D92,"")</f>
        <v/>
      </c>
      <c r="J102" s="94">
        <f>IF(Funções!F92&lt;&gt;"",Funções!F92,"")</f>
        <v/>
      </c>
      <c r="K102" s="94">
        <f>IF(Funções!H92&lt;&gt;"",Funções!H92,"")</f>
        <v/>
      </c>
      <c r="L102" s="94">
        <f>IF(Funções!M92&lt;&gt;"",Funções!M92,"")</f>
        <v/>
      </c>
      <c r="M102" s="94">
        <f>IF(Funções!N92&lt;&gt;"",Funções!N92,"")</f>
        <v/>
      </c>
      <c r="N102" s="94">
        <f>IF(Funções!E92&lt;&gt;"",Funções!E92,"")</f>
        <v/>
      </c>
      <c r="O102" s="94">
        <f>L102</f>
        <v/>
      </c>
      <c r="P102" s="43">
        <f>IF(Funções!P92&lt;&gt;"",Funções!P92,"")</f>
        <v/>
      </c>
    </row>
    <row r="103" hidden="1" ht="15" customHeight="1" s="30">
      <c r="B103" s="42">
        <f>IF(Funções!B93&lt;&gt;"",Funções!B93,"")</f>
        <v/>
      </c>
      <c r="C103" s="67">
        <f>IF(Funções!C93&lt;&gt;"",Funções!C93,"")</f>
        <v/>
      </c>
      <c r="D103" s="65" t="n"/>
      <c r="E103" s="65" t="n"/>
      <c r="F103" s="65" t="n"/>
      <c r="G103" s="65" t="n"/>
      <c r="H103" s="66" t="n"/>
      <c r="I103" s="94">
        <f>IF(Funções!D93&lt;&gt;"",Funções!D93,"")</f>
        <v/>
      </c>
      <c r="J103" s="94">
        <f>IF(Funções!F93&lt;&gt;"",Funções!F93,"")</f>
        <v/>
      </c>
      <c r="K103" s="94">
        <f>IF(Funções!H93&lt;&gt;"",Funções!H93,"")</f>
        <v/>
      </c>
      <c r="L103" s="94">
        <f>IF(Funções!M93&lt;&gt;"",Funções!M93,"")</f>
        <v/>
      </c>
      <c r="M103" s="94">
        <f>IF(Funções!N93&lt;&gt;"",Funções!N93,"")</f>
        <v/>
      </c>
      <c r="N103" s="94">
        <f>IF(Funções!E93&lt;&gt;"",Funções!E93,"")</f>
        <v/>
      </c>
      <c r="O103" s="94">
        <f>L103</f>
        <v/>
      </c>
      <c r="P103" s="43">
        <f>IF(Funções!P93&lt;&gt;"",Funções!P93,"")</f>
        <v/>
      </c>
    </row>
    <row r="104" hidden="1" ht="15" customHeight="1" s="30">
      <c r="B104" s="42">
        <f>IF(Funções!B94&lt;&gt;"",Funções!B94,"")</f>
        <v/>
      </c>
      <c r="C104" s="67">
        <f>IF(Funções!C94&lt;&gt;"",Funções!C94,"")</f>
        <v/>
      </c>
      <c r="D104" s="65" t="n"/>
      <c r="E104" s="65" t="n"/>
      <c r="F104" s="65" t="n"/>
      <c r="G104" s="65" t="n"/>
      <c r="H104" s="66" t="n"/>
      <c r="I104" s="94">
        <f>IF(Funções!D94&lt;&gt;"",Funções!D94,"")</f>
        <v/>
      </c>
      <c r="J104" s="94">
        <f>IF(Funções!F94&lt;&gt;"",Funções!F94,"")</f>
        <v/>
      </c>
      <c r="K104" s="94">
        <f>IF(Funções!H94&lt;&gt;"",Funções!H94,"")</f>
        <v/>
      </c>
      <c r="L104" s="94">
        <f>IF(Funções!M94&lt;&gt;"",Funções!M94,"")</f>
        <v/>
      </c>
      <c r="M104" s="94">
        <f>IF(Funções!N94&lt;&gt;"",Funções!N94,"")</f>
        <v/>
      </c>
      <c r="N104" s="94">
        <f>IF(Funções!E94&lt;&gt;"",Funções!E94,"")</f>
        <v/>
      </c>
      <c r="O104" s="94">
        <f>L104</f>
        <v/>
      </c>
      <c r="P104" s="43">
        <f>IF(Funções!P94&lt;&gt;"",Funções!P94,"")</f>
        <v/>
      </c>
    </row>
    <row r="105" hidden="1" ht="15" customHeight="1" s="30">
      <c r="B105" s="42">
        <f>IF(Funções!B95&lt;&gt;"",Funções!B95,"")</f>
        <v/>
      </c>
      <c r="C105" s="67">
        <f>IF(Funções!C95&lt;&gt;"",Funções!C95,"")</f>
        <v/>
      </c>
      <c r="D105" s="65" t="n"/>
      <c r="E105" s="65" t="n"/>
      <c r="F105" s="65" t="n"/>
      <c r="G105" s="65" t="n"/>
      <c r="H105" s="66" t="n"/>
      <c r="I105" s="94">
        <f>IF(Funções!D95&lt;&gt;"",Funções!D95,"")</f>
        <v/>
      </c>
      <c r="J105" s="94">
        <f>IF(Funções!F95&lt;&gt;"",Funções!F95,"")</f>
        <v/>
      </c>
      <c r="K105" s="94">
        <f>IF(Funções!H95&lt;&gt;"",Funções!H95,"")</f>
        <v/>
      </c>
      <c r="L105" s="94">
        <f>IF(Funções!M95&lt;&gt;"",Funções!M95,"")</f>
        <v/>
      </c>
      <c r="M105" s="94">
        <f>IF(Funções!N95&lt;&gt;"",Funções!N95,"")</f>
        <v/>
      </c>
      <c r="N105" s="94">
        <f>IF(Funções!E95&lt;&gt;"",Funções!E95,"")</f>
        <v/>
      </c>
      <c r="O105" s="94">
        <f>L105</f>
        <v/>
      </c>
      <c r="P105" s="43">
        <f>IF(Funções!P95&lt;&gt;"",Funções!P95,"")</f>
        <v/>
      </c>
    </row>
    <row r="106" hidden="1" ht="15" customHeight="1" s="30">
      <c r="B106" s="42">
        <f>IF(Funções!B96&lt;&gt;"",Funções!B96,"")</f>
        <v/>
      </c>
      <c r="C106" s="67">
        <f>IF(Funções!C96&lt;&gt;"",Funções!C96,"")</f>
        <v/>
      </c>
      <c r="D106" s="65" t="n"/>
      <c r="E106" s="65" t="n"/>
      <c r="F106" s="65" t="n"/>
      <c r="G106" s="65" t="n"/>
      <c r="H106" s="66" t="n"/>
      <c r="I106" s="94">
        <f>IF(Funções!D96&lt;&gt;"",Funções!D96,"")</f>
        <v/>
      </c>
      <c r="J106" s="94">
        <f>IF(Funções!F96&lt;&gt;"",Funções!F96,"")</f>
        <v/>
      </c>
      <c r="K106" s="94">
        <f>IF(Funções!H96&lt;&gt;"",Funções!H96,"")</f>
        <v/>
      </c>
      <c r="L106" s="94">
        <f>IF(Funções!M96&lt;&gt;"",Funções!M96,"")</f>
        <v/>
      </c>
      <c r="M106" s="94">
        <f>IF(Funções!N96&lt;&gt;"",Funções!N96,"")</f>
        <v/>
      </c>
      <c r="N106" s="94">
        <f>IF(Funções!E96&lt;&gt;"",Funções!E96,"")</f>
        <v/>
      </c>
      <c r="O106" s="94">
        <f>L106</f>
        <v/>
      </c>
      <c r="P106" s="43">
        <f>IF(Funções!P96&lt;&gt;"",Funções!P96,"")</f>
        <v/>
      </c>
    </row>
    <row r="107" hidden="1" ht="15" customHeight="1" s="30">
      <c r="B107" s="42">
        <f>IF(Funções!B97&lt;&gt;"",Funções!B97,"")</f>
        <v/>
      </c>
      <c r="C107" s="67">
        <f>IF(Funções!C97&lt;&gt;"",Funções!C97,"")</f>
        <v/>
      </c>
      <c r="D107" s="65" t="n"/>
      <c r="E107" s="65" t="n"/>
      <c r="F107" s="65" t="n"/>
      <c r="G107" s="65" t="n"/>
      <c r="H107" s="66" t="n"/>
      <c r="I107" s="94">
        <f>IF(Funções!D97&lt;&gt;"",Funções!D97,"")</f>
        <v/>
      </c>
      <c r="J107" s="94">
        <f>IF(Funções!F97&lt;&gt;"",Funções!F97,"")</f>
        <v/>
      </c>
      <c r="K107" s="94">
        <f>IF(Funções!H97&lt;&gt;"",Funções!H97,"")</f>
        <v/>
      </c>
      <c r="L107" s="94">
        <f>IF(Funções!M97&lt;&gt;"",Funções!M97,"")</f>
        <v/>
      </c>
      <c r="M107" s="94">
        <f>IF(Funções!N97&lt;&gt;"",Funções!N97,"")</f>
        <v/>
      </c>
      <c r="N107" s="94">
        <f>IF(Funções!E97&lt;&gt;"",Funções!E97,"")</f>
        <v/>
      </c>
      <c r="O107" s="94">
        <f>L107</f>
        <v/>
      </c>
      <c r="P107" s="43">
        <f>IF(Funções!P97&lt;&gt;"",Funções!P97,"")</f>
        <v/>
      </c>
    </row>
    <row r="108" hidden="1" ht="15" customHeight="1" s="30">
      <c r="B108" s="42">
        <f>IF(Funções!B98&lt;&gt;"",Funções!B98,"")</f>
        <v/>
      </c>
      <c r="C108" s="67">
        <f>IF(Funções!C98&lt;&gt;"",Funções!C98,"")</f>
        <v/>
      </c>
      <c r="D108" s="65" t="n"/>
      <c r="E108" s="65" t="n"/>
      <c r="F108" s="65" t="n"/>
      <c r="G108" s="65" t="n"/>
      <c r="H108" s="66" t="n"/>
      <c r="I108" s="94">
        <f>IF(Funções!D98&lt;&gt;"",Funções!D98,"")</f>
        <v/>
      </c>
      <c r="J108" s="94">
        <f>IF(Funções!F98&lt;&gt;"",Funções!F98,"")</f>
        <v/>
      </c>
      <c r="K108" s="94">
        <f>IF(Funções!H98&lt;&gt;"",Funções!H98,"")</f>
        <v/>
      </c>
      <c r="L108" s="94">
        <f>IF(Funções!M98&lt;&gt;"",Funções!M98,"")</f>
        <v/>
      </c>
      <c r="M108" s="94">
        <f>IF(Funções!N98&lt;&gt;"",Funções!N98,"")</f>
        <v/>
      </c>
      <c r="N108" s="94">
        <f>IF(Funções!E98&lt;&gt;"",Funções!E98,"")</f>
        <v/>
      </c>
      <c r="O108" s="94">
        <f>L108</f>
        <v/>
      </c>
      <c r="P108" s="43">
        <f>IF(Funções!P98&lt;&gt;"",Funções!P98,"")</f>
        <v/>
      </c>
    </row>
    <row r="109" hidden="1" ht="15" customHeight="1" s="30">
      <c r="B109" s="42">
        <f>IF(Funções!B99&lt;&gt;"",Funções!B99,"")</f>
        <v/>
      </c>
      <c r="C109" s="67">
        <f>IF(Funções!C99&lt;&gt;"",Funções!C99,"")</f>
        <v/>
      </c>
      <c r="D109" s="65" t="n"/>
      <c r="E109" s="65" t="n"/>
      <c r="F109" s="65" t="n"/>
      <c r="G109" s="65" t="n"/>
      <c r="H109" s="66" t="n"/>
      <c r="I109" s="94">
        <f>IF(Funções!D99&lt;&gt;"",Funções!D99,"")</f>
        <v/>
      </c>
      <c r="J109" s="94">
        <f>IF(Funções!F99&lt;&gt;"",Funções!F99,"")</f>
        <v/>
      </c>
      <c r="K109" s="94">
        <f>IF(Funções!H99&lt;&gt;"",Funções!H99,"")</f>
        <v/>
      </c>
      <c r="L109" s="94">
        <f>IF(Funções!M99&lt;&gt;"",Funções!M99,"")</f>
        <v/>
      </c>
      <c r="M109" s="94">
        <f>IF(Funções!N99&lt;&gt;"",Funções!N99,"")</f>
        <v/>
      </c>
      <c r="N109" s="94">
        <f>IF(Funções!E99&lt;&gt;"",Funções!E99,"")</f>
        <v/>
      </c>
      <c r="O109" s="94">
        <f>L109</f>
        <v/>
      </c>
      <c r="P109" s="43">
        <f>IF(Funções!P99&lt;&gt;"",Funções!P99,"")</f>
        <v/>
      </c>
    </row>
    <row r="110" hidden="1" ht="15" customHeight="1" s="30">
      <c r="B110" s="42">
        <f>IF(Funções!B100&lt;&gt;"",Funções!B100,"")</f>
        <v/>
      </c>
      <c r="C110" s="67">
        <f>IF(Funções!C100&lt;&gt;"",Funções!C100,"")</f>
        <v/>
      </c>
      <c r="D110" s="65" t="n"/>
      <c r="E110" s="65" t="n"/>
      <c r="F110" s="65" t="n"/>
      <c r="G110" s="65" t="n"/>
      <c r="H110" s="66" t="n"/>
      <c r="I110" s="94">
        <f>IF(Funções!D100&lt;&gt;"",Funções!D100,"")</f>
        <v/>
      </c>
      <c r="J110" s="94">
        <f>IF(Funções!F100&lt;&gt;"",Funções!F100,"")</f>
        <v/>
      </c>
      <c r="K110" s="94">
        <f>IF(Funções!H100&lt;&gt;"",Funções!H100,"")</f>
        <v/>
      </c>
      <c r="L110" s="94">
        <f>IF(Funções!M100&lt;&gt;"",Funções!M100,"")</f>
        <v/>
      </c>
      <c r="M110" s="94">
        <f>IF(Funções!N100&lt;&gt;"",Funções!N100,"")</f>
        <v/>
      </c>
      <c r="N110" s="94">
        <f>IF(Funções!E100&lt;&gt;"",Funções!E100,"")</f>
        <v/>
      </c>
      <c r="O110" s="94">
        <f>L110</f>
        <v/>
      </c>
      <c r="P110" s="43">
        <f>IF(Funções!P100&lt;&gt;"",Funções!P100,"")</f>
        <v/>
      </c>
    </row>
    <row r="111" hidden="1" ht="15" customHeight="1" s="30">
      <c r="B111" s="42">
        <f>IF(Funções!B101&lt;&gt;"",Funções!B101,"")</f>
        <v/>
      </c>
      <c r="C111" s="67">
        <f>IF(Funções!C101&lt;&gt;"",Funções!C101,"")</f>
        <v/>
      </c>
      <c r="D111" s="65" t="n"/>
      <c r="E111" s="65" t="n"/>
      <c r="F111" s="65" t="n"/>
      <c r="G111" s="65" t="n"/>
      <c r="H111" s="66" t="n"/>
      <c r="I111" s="94">
        <f>IF(Funções!D101&lt;&gt;"",Funções!D101,"")</f>
        <v/>
      </c>
      <c r="J111" s="94">
        <f>IF(Funções!F101&lt;&gt;"",Funções!F101,"")</f>
        <v/>
      </c>
      <c r="K111" s="94">
        <f>IF(Funções!H101&lt;&gt;"",Funções!H101,"")</f>
        <v/>
      </c>
      <c r="L111" s="94">
        <f>IF(Funções!M101&lt;&gt;"",Funções!M101,"")</f>
        <v/>
      </c>
      <c r="M111" s="94">
        <f>IF(Funções!N101&lt;&gt;"",Funções!N101,"")</f>
        <v/>
      </c>
      <c r="N111" s="94">
        <f>IF(Funções!E101&lt;&gt;"",Funções!E101,"")</f>
        <v/>
      </c>
      <c r="O111" s="94">
        <f>L111</f>
        <v/>
      </c>
      <c r="P111" s="43">
        <f>IF(Funções!P101&lt;&gt;"",Funções!P101,"")</f>
        <v/>
      </c>
    </row>
    <row r="112" hidden="1" ht="15" customHeight="1" s="30">
      <c r="B112" s="42">
        <f>IF(Funções!B102&lt;&gt;"",Funções!B102,"")</f>
        <v/>
      </c>
      <c r="C112" s="67">
        <f>IF(Funções!C102&lt;&gt;"",Funções!C102,"")</f>
        <v/>
      </c>
      <c r="D112" s="65" t="n"/>
      <c r="E112" s="65" t="n"/>
      <c r="F112" s="65" t="n"/>
      <c r="G112" s="65" t="n"/>
      <c r="H112" s="66" t="n"/>
      <c r="I112" s="94">
        <f>IF(Funções!D102&lt;&gt;"",Funções!D102,"")</f>
        <v/>
      </c>
      <c r="J112" s="94">
        <f>IF(Funções!F102&lt;&gt;"",Funções!F102,"")</f>
        <v/>
      </c>
      <c r="K112" s="94">
        <f>IF(Funções!H102&lt;&gt;"",Funções!H102,"")</f>
        <v/>
      </c>
      <c r="L112" s="94">
        <f>IF(Funções!M102&lt;&gt;"",Funções!M102,"")</f>
        <v/>
      </c>
      <c r="M112" s="94">
        <f>IF(Funções!N102&lt;&gt;"",Funções!N102,"")</f>
        <v/>
      </c>
      <c r="N112" s="94">
        <f>IF(Funções!E102&lt;&gt;"",Funções!E102,"")</f>
        <v/>
      </c>
      <c r="O112" s="94">
        <f>L112</f>
        <v/>
      </c>
      <c r="P112" s="43">
        <f>IF(Funções!P102&lt;&gt;"",Funções!P102,"")</f>
        <v/>
      </c>
    </row>
    <row r="113" hidden="1" ht="15" customHeight="1" s="30">
      <c r="B113" s="42">
        <f>IF(Funções!B103&lt;&gt;"",Funções!B103,"")</f>
        <v/>
      </c>
      <c r="C113" s="67">
        <f>IF(Funções!C103&lt;&gt;"",Funções!C103,"")</f>
        <v/>
      </c>
      <c r="D113" s="65" t="n"/>
      <c r="E113" s="65" t="n"/>
      <c r="F113" s="65" t="n"/>
      <c r="G113" s="65" t="n"/>
      <c r="H113" s="66" t="n"/>
      <c r="I113" s="94">
        <f>IF(Funções!D103&lt;&gt;"",Funções!D103,"")</f>
        <v/>
      </c>
      <c r="J113" s="94">
        <f>IF(Funções!F103&lt;&gt;"",Funções!F103,"")</f>
        <v/>
      </c>
      <c r="K113" s="94">
        <f>IF(Funções!H103&lt;&gt;"",Funções!H103,"")</f>
        <v/>
      </c>
      <c r="L113" s="94">
        <f>IF(Funções!M103&lt;&gt;"",Funções!M103,"")</f>
        <v/>
      </c>
      <c r="M113" s="94">
        <f>IF(Funções!N103&lt;&gt;"",Funções!N103,"")</f>
        <v/>
      </c>
      <c r="N113" s="94">
        <f>IF(Funções!E103&lt;&gt;"",Funções!E103,"")</f>
        <v/>
      </c>
      <c r="O113" s="94">
        <f>L113</f>
        <v/>
      </c>
      <c r="P113" s="43">
        <f>IF(Funções!P103&lt;&gt;"",Funções!P103,"")</f>
        <v/>
      </c>
    </row>
    <row r="114" hidden="1" ht="15" customHeight="1" s="30">
      <c r="B114" s="42">
        <f>IF(Funções!B104&lt;&gt;"",Funções!B104,"")</f>
        <v/>
      </c>
      <c r="C114" s="67">
        <f>IF(Funções!C104&lt;&gt;"",Funções!C104,"")</f>
        <v/>
      </c>
      <c r="D114" s="65" t="n"/>
      <c r="E114" s="65" t="n"/>
      <c r="F114" s="65" t="n"/>
      <c r="G114" s="65" t="n"/>
      <c r="H114" s="66" t="n"/>
      <c r="I114" s="94">
        <f>IF(Funções!D104&lt;&gt;"",Funções!D104,"")</f>
        <v/>
      </c>
      <c r="J114" s="94">
        <f>IF(Funções!F104&lt;&gt;"",Funções!F104,"")</f>
        <v/>
      </c>
      <c r="K114" s="94">
        <f>IF(Funções!H104&lt;&gt;"",Funções!H104,"")</f>
        <v/>
      </c>
      <c r="L114" s="94">
        <f>IF(Funções!M104&lt;&gt;"",Funções!M104,"")</f>
        <v/>
      </c>
      <c r="M114" s="94">
        <f>IF(Funções!N104&lt;&gt;"",Funções!N104,"")</f>
        <v/>
      </c>
      <c r="N114" s="94">
        <f>IF(Funções!E104&lt;&gt;"",Funções!E104,"")</f>
        <v/>
      </c>
      <c r="O114" s="94">
        <f>L114</f>
        <v/>
      </c>
      <c r="P114" s="43">
        <f>IF(Funções!P104&lt;&gt;"",Funções!P104,"")</f>
        <v/>
      </c>
    </row>
    <row r="115" hidden="1" ht="15" customHeight="1" s="30">
      <c r="B115" s="42">
        <f>IF(Funções!B105&lt;&gt;"",Funções!B105,"")</f>
        <v/>
      </c>
      <c r="C115" s="67">
        <f>IF(Funções!C105&lt;&gt;"",Funções!C105,"")</f>
        <v/>
      </c>
      <c r="D115" s="65" t="n"/>
      <c r="E115" s="65" t="n"/>
      <c r="F115" s="65" t="n"/>
      <c r="G115" s="65" t="n"/>
      <c r="H115" s="66" t="n"/>
      <c r="I115" s="94">
        <f>IF(Funções!D105&lt;&gt;"",Funções!D105,"")</f>
        <v/>
      </c>
      <c r="J115" s="94">
        <f>IF(Funções!F105&lt;&gt;"",Funções!F105,"")</f>
        <v/>
      </c>
      <c r="K115" s="94">
        <f>IF(Funções!H105&lt;&gt;"",Funções!H105,"")</f>
        <v/>
      </c>
      <c r="L115" s="94">
        <f>IF(Funções!M105&lt;&gt;"",Funções!M105,"")</f>
        <v/>
      </c>
      <c r="M115" s="94">
        <f>IF(Funções!N105&lt;&gt;"",Funções!N105,"")</f>
        <v/>
      </c>
      <c r="N115" s="94">
        <f>IF(Funções!E105&lt;&gt;"",Funções!E105,"")</f>
        <v/>
      </c>
      <c r="O115" s="94">
        <f>L115</f>
        <v/>
      </c>
      <c r="P115" s="43">
        <f>IF(Funções!P105&lt;&gt;"",Funções!P105,"")</f>
        <v/>
      </c>
    </row>
    <row r="116" hidden="1" ht="15" customHeight="1" s="30">
      <c r="B116" s="42">
        <f>IF(Funções!B106&lt;&gt;"",Funções!B106,"")</f>
        <v/>
      </c>
      <c r="C116" s="67">
        <f>IF(Funções!C106&lt;&gt;"",Funções!C106,"")</f>
        <v/>
      </c>
      <c r="D116" s="65" t="n"/>
      <c r="E116" s="65" t="n"/>
      <c r="F116" s="65" t="n"/>
      <c r="G116" s="65" t="n"/>
      <c r="H116" s="66" t="n"/>
      <c r="I116" s="94">
        <f>IF(Funções!D106&lt;&gt;"",Funções!D106,"")</f>
        <v/>
      </c>
      <c r="J116" s="94">
        <f>IF(Funções!F106&lt;&gt;"",Funções!F106,"")</f>
        <v/>
      </c>
      <c r="K116" s="94">
        <f>IF(Funções!H106&lt;&gt;"",Funções!H106,"")</f>
        <v/>
      </c>
      <c r="L116" s="94">
        <f>IF(Funções!M106&lt;&gt;"",Funções!M106,"")</f>
        <v/>
      </c>
      <c r="M116" s="94">
        <f>IF(Funções!N106&lt;&gt;"",Funções!N106,"")</f>
        <v/>
      </c>
      <c r="N116" s="94">
        <f>IF(Funções!E106&lt;&gt;"",Funções!E106,"")</f>
        <v/>
      </c>
      <c r="O116" s="94">
        <f>L116</f>
        <v/>
      </c>
      <c r="P116" s="43">
        <f>IF(Funções!P106&lt;&gt;"",Funções!P106,"")</f>
        <v/>
      </c>
    </row>
    <row r="117" hidden="1" ht="15" customHeight="1" s="30">
      <c r="B117" s="42">
        <f>IF(Funções!B107&lt;&gt;"",Funções!B107,"")</f>
        <v/>
      </c>
      <c r="C117" s="67">
        <f>IF(Funções!C107&lt;&gt;"",Funções!C107,"")</f>
        <v/>
      </c>
      <c r="D117" s="65" t="n"/>
      <c r="E117" s="65" t="n"/>
      <c r="F117" s="65" t="n"/>
      <c r="G117" s="65" t="n"/>
      <c r="H117" s="66" t="n"/>
      <c r="I117" s="94">
        <f>IF(Funções!D107&lt;&gt;"",Funções!D107,"")</f>
        <v/>
      </c>
      <c r="J117" s="94">
        <f>IF(Funções!F107&lt;&gt;"",Funções!F107,"")</f>
        <v/>
      </c>
      <c r="K117" s="94">
        <f>IF(Funções!H107&lt;&gt;"",Funções!H107,"")</f>
        <v/>
      </c>
      <c r="L117" s="94">
        <f>IF(Funções!M107&lt;&gt;"",Funções!M107,"")</f>
        <v/>
      </c>
      <c r="M117" s="94">
        <f>IF(Funções!N107&lt;&gt;"",Funções!N107,"")</f>
        <v/>
      </c>
      <c r="N117" s="94">
        <f>IF(Funções!E107&lt;&gt;"",Funções!E107,"")</f>
        <v/>
      </c>
      <c r="O117" s="94">
        <f>L117</f>
        <v/>
      </c>
      <c r="P117" s="43">
        <f>IF(Funções!P107&lt;&gt;"",Funções!P107,"")</f>
        <v/>
      </c>
    </row>
    <row r="118" hidden="1" ht="15" customHeight="1" s="30">
      <c r="B118" s="42">
        <f>IF(Funções!B108&lt;&gt;"",Funções!B108,"")</f>
        <v/>
      </c>
      <c r="C118" s="67">
        <f>IF(Funções!C108&lt;&gt;"",Funções!C108,"")</f>
        <v/>
      </c>
      <c r="D118" s="65" t="n"/>
      <c r="E118" s="65" t="n"/>
      <c r="F118" s="65" t="n"/>
      <c r="G118" s="65" t="n"/>
      <c r="H118" s="66" t="n"/>
      <c r="I118" s="94">
        <f>IF(Funções!D108&lt;&gt;"",Funções!D108,"")</f>
        <v/>
      </c>
      <c r="J118" s="94">
        <f>IF(Funções!F108&lt;&gt;"",Funções!F108,"")</f>
        <v/>
      </c>
      <c r="K118" s="94">
        <f>IF(Funções!H108&lt;&gt;"",Funções!H108,"")</f>
        <v/>
      </c>
      <c r="L118" s="94">
        <f>IF(Funções!M108&lt;&gt;"",Funções!M108,"")</f>
        <v/>
      </c>
      <c r="M118" s="94">
        <f>IF(Funções!N108&lt;&gt;"",Funções!N108,"")</f>
        <v/>
      </c>
      <c r="N118" s="94">
        <f>IF(Funções!E108&lt;&gt;"",Funções!E108,"")</f>
        <v/>
      </c>
      <c r="O118" s="94">
        <f>L118</f>
        <v/>
      </c>
      <c r="P118" s="43">
        <f>IF(Funções!P108&lt;&gt;"",Funções!P108,"")</f>
        <v/>
      </c>
    </row>
    <row r="119" hidden="1" ht="15" customHeight="1" s="30">
      <c r="B119" s="42">
        <f>IF(Funções!B109&lt;&gt;"",Funções!B109,"")</f>
        <v/>
      </c>
      <c r="C119" s="67">
        <f>IF(Funções!C109&lt;&gt;"",Funções!C109,"")</f>
        <v/>
      </c>
      <c r="D119" s="65" t="n"/>
      <c r="E119" s="65" t="n"/>
      <c r="F119" s="65" t="n"/>
      <c r="G119" s="65" t="n"/>
      <c r="H119" s="66" t="n"/>
      <c r="I119" s="94">
        <f>IF(Funções!D109&lt;&gt;"",Funções!D109,"")</f>
        <v/>
      </c>
      <c r="J119" s="94">
        <f>IF(Funções!F109&lt;&gt;"",Funções!F109,"")</f>
        <v/>
      </c>
      <c r="K119" s="94">
        <f>IF(Funções!H109&lt;&gt;"",Funções!H109,"")</f>
        <v/>
      </c>
      <c r="L119" s="94">
        <f>IF(Funções!M109&lt;&gt;"",Funções!M109,"")</f>
        <v/>
      </c>
      <c r="M119" s="94">
        <f>IF(Funções!N109&lt;&gt;"",Funções!N109,"")</f>
        <v/>
      </c>
      <c r="N119" s="94">
        <f>IF(Funções!E109&lt;&gt;"",Funções!E109,"")</f>
        <v/>
      </c>
      <c r="O119" s="94">
        <f>L119</f>
        <v/>
      </c>
      <c r="P119" s="43">
        <f>IF(Funções!P109&lt;&gt;"",Funções!P109,"")</f>
        <v/>
      </c>
    </row>
    <row r="120" ht="15" customHeight="1" s="30">
      <c r="B120" s="37" t="n"/>
      <c r="C120" s="38" t="n"/>
      <c r="D120" s="38" t="n"/>
      <c r="E120" s="38" t="n"/>
      <c r="F120" s="38" t="n"/>
      <c r="G120" s="38" t="n"/>
      <c r="H120" s="38" t="n"/>
      <c r="I120" s="38" t="n"/>
      <c r="J120" s="38" t="n"/>
      <c r="K120" s="38" t="n"/>
      <c r="L120" s="38" t="n"/>
      <c r="M120" s="38" t="n"/>
      <c r="N120" s="94" t="inlineStr">
        <is>
          <t>TOTAL</t>
        </is>
      </c>
      <c r="O120" s="323">
        <f>Contagem!F21</f>
        <v/>
      </c>
      <c r="P120" s="72" t="n"/>
    </row>
    <row r="121">
      <c r="B121" s="324" t="inlineStr">
        <is>
          <t>Em todos os cálculos devem ser detalhadas as fórmulas utilizadas de acordo com as descritas no Roteiro de Métricas de Software do SISP publicado pela SLTI/MP</t>
        </is>
      </c>
      <c r="P121" s="31" t="n"/>
    </row>
    <row r="122">
      <c r="B122" s="29" t="n"/>
      <c r="P122" s="31" t="n"/>
    </row>
    <row r="123">
      <c r="B123" s="29" t="n"/>
      <c r="P123" s="31" t="n"/>
    </row>
    <row r="124">
      <c r="B124" s="151" t="n"/>
      <c r="C124" s="33" t="n"/>
      <c r="D124" s="33" t="n"/>
      <c r="E124" s="33" t="n"/>
      <c r="F124" s="33" t="n"/>
      <c r="G124" s="33" t="n"/>
      <c r="H124" s="33" t="n"/>
      <c r="J124" s="164" t="n"/>
      <c r="K124" s="33" t="n"/>
      <c r="L124" s="33" t="n"/>
      <c r="M124" s="33" t="n"/>
      <c r="N124" s="33" t="n"/>
      <c r="O124" s="33" t="n"/>
      <c r="P124" s="322" t="n"/>
    </row>
    <row r="125" ht="15" customHeight="1" s="30">
      <c r="B125" s="170" t="inlineStr">
        <is>
          <t xml:space="preserve"> Assinatura do Responsável pela Contagem</t>
        </is>
      </c>
      <c r="J125" s="163" t="inlineStr">
        <is>
          <t xml:space="preserve">Assinatura do(a) Revisor(a) </t>
        </is>
      </c>
      <c r="P125" s="31" t="n"/>
    </row>
    <row r="126" ht="15" customHeight="1" s="30">
      <c r="B126" s="32" t="inlineStr">
        <is>
          <t>LEGENDA:</t>
        </is>
      </c>
      <c r="P126" s="31" t="n"/>
    </row>
    <row r="127" ht="15" customHeight="1" s="30">
      <c r="B127" s="34" t="inlineStr">
        <is>
          <t>AIM</t>
        </is>
      </c>
      <c r="D127" s="150" t="inlineStr">
        <is>
          <t xml:space="preserve">Cálculo de PF de Manutenção Evolutiva a partir da análise de impacto da mesma sobre o tamanho funcional atual; </t>
        </is>
      </c>
      <c r="P127" s="31" t="n"/>
    </row>
    <row r="128" ht="15" customHeight="1" s="30">
      <c r="B128" s="34" t="inlineStr">
        <is>
          <t>AR/TR</t>
        </is>
      </c>
      <c r="D128" s="150" t="inlineStr">
        <is>
          <t>Arquivos Referenciados/Tipos de Registro;</t>
        </is>
      </c>
      <c r="P128" s="31" t="n"/>
    </row>
    <row r="129" ht="15" customHeight="1" s="30">
      <c r="B129" s="34" t="inlineStr">
        <is>
          <t>Comp</t>
        </is>
      </c>
      <c r="D129" s="150" t="inlineStr">
        <is>
          <t>Complexidade: S – Simples; M – Média; C – Complexa</t>
        </is>
      </c>
      <c r="P129" s="31" t="n"/>
    </row>
    <row r="130" ht="15" customHeight="1" s="30">
      <c r="B130" s="34" t="inlineStr">
        <is>
          <t>I/A/E</t>
        </is>
      </c>
      <c r="D130" s="150" t="inlineStr">
        <is>
          <t>I - Inclusão de Nova Funcionalidade; A - Alteração de Funcionalidade Existente; E - Exclusão de Funcionalidade;</t>
        </is>
      </c>
      <c r="P130" s="31" t="n"/>
    </row>
    <row r="131" ht="15" customHeight="1" s="30">
      <c r="B131" s="34" t="inlineStr">
        <is>
          <t>Impacto</t>
        </is>
      </c>
      <c r="D131" s="150" t="inlineStr">
        <is>
          <t>Impacto da manutenção (alteração): A-Alto; M-Médio; B-Baixo;</t>
        </is>
      </c>
      <c r="P131" s="31" t="n"/>
    </row>
    <row r="132" ht="15" customHeight="1" s="30">
      <c r="B132" s="34" t="inlineStr">
        <is>
          <t>PF</t>
        </is>
      </c>
      <c r="D132" s="150" t="inlineStr">
        <is>
          <t>Número de Pontos de Função não ajustados do Processo/Grupo de Dados;</t>
        </is>
      </c>
      <c r="P132" s="31" t="n"/>
    </row>
    <row r="133" ht="15" customHeight="1" s="30">
      <c r="B133" s="34" t="inlineStr">
        <is>
          <t>PFB</t>
        </is>
      </c>
      <c r="D133" s="150" t="inlineStr">
        <is>
          <t>Número de Pontos de Função Brutos (não ajustados) do Processo/Grupo de Dados após impacto;</t>
        </is>
      </c>
      <c r="P133" s="31" t="n"/>
    </row>
    <row r="134" ht="15" customHeight="1" s="30">
      <c r="B134" s="34" t="inlineStr">
        <is>
          <t>TD</t>
        </is>
      </c>
      <c r="D134" s="150" t="inlineStr">
        <is>
          <t>Quantidade de Tipo de Dados;</t>
        </is>
      </c>
      <c r="P134" s="31" t="n"/>
    </row>
    <row r="135" ht="15" customHeight="1" s="30">
      <c r="B135" s="35" t="inlineStr">
        <is>
          <t>Tipo</t>
        </is>
      </c>
      <c r="C135" s="33" t="n"/>
      <c r="D135" s="175" t="inlineStr">
        <is>
          <t>Tipo de Função:ALI, AIE, EE, SE, CE.</t>
        </is>
      </c>
      <c r="E135" s="33" t="n"/>
      <c r="F135" s="33" t="n"/>
      <c r="G135" s="33" t="n"/>
      <c r="H135" s="33" t="n"/>
      <c r="I135" s="33" t="n"/>
      <c r="J135" s="33" t="n"/>
      <c r="K135" s="33" t="n"/>
      <c r="L135" s="33" t="n"/>
      <c r="M135" s="33" t="n"/>
      <c r="N135" s="33" t="n"/>
      <c r="O135" s="33" t="n"/>
      <c r="P135" s="322" t="n"/>
    </row>
    <row r="136" ht="15" customHeight="1" s="30" thickBot="1"/>
    <row r="137" ht="18" customHeight="1" s="30">
      <c r="B137" s="325" t="inlineStr">
        <is>
          <t>SISP 2.3 - Tabela 9: Estimativa de Prazo de Projetos menores que 100 PF</t>
        </is>
      </c>
      <c r="C137" s="326" t="n"/>
      <c r="D137" s="326" t="n"/>
      <c r="E137" s="326" t="n"/>
      <c r="F137" s="326" t="n"/>
      <c r="G137" s="326" t="n"/>
      <c r="H137" s="326" t="n"/>
      <c r="I137" s="326" t="n"/>
      <c r="J137" s="327" t="n"/>
      <c r="L137" s="172" t="inlineStr">
        <is>
          <t>ESTIMATIVA DE PRAZO</t>
        </is>
      </c>
    </row>
    <row r="138" ht="14.25" customHeight="1" s="30" thickBot="1">
      <c r="B138" s="201" t="inlineStr">
        <is>
          <t>Tamanho do Projeto</t>
        </is>
      </c>
      <c r="C138" s="27" t="n"/>
      <c r="D138" s="28" t="n"/>
      <c r="E138" s="202" t="inlineStr">
        <is>
          <t>Prazo maximo (dias uteis)</t>
        </is>
      </c>
      <c r="F138" s="38" t="n"/>
      <c r="G138" s="38" t="n"/>
      <c r="H138" s="38" t="n"/>
      <c r="I138" s="38" t="n"/>
      <c r="J138" s="72" t="n"/>
      <c r="R138">
        <f>Contagem!F21</f>
        <v/>
      </c>
    </row>
    <row r="139" ht="21" customHeight="1" s="30">
      <c r="B139" s="328" t="n"/>
      <c r="D139" s="31" t="n"/>
      <c r="E139" s="186" t="inlineStr">
        <is>
          <t>Projetos 
Complex. Baixa (dias uteis)</t>
        </is>
      </c>
      <c r="F139" s="27" t="n"/>
      <c r="G139" s="28" t="n"/>
      <c r="H139" s="329" t="inlineStr">
        <is>
          <t>Projetos 
Complex. Média (dias uteis)</t>
        </is>
      </c>
      <c r="I139" s="27" t="n"/>
      <c r="J139" s="330" t="n"/>
      <c r="L139" s="331">
        <f>IF(Contagem!F21&gt;0,CONCATENATE("Este RCM está estimado em ",Contagem!F21," pontos de função, com prazo de ",INT(W151), " dias úteis a partir da aprovação para execução."),"")</f>
        <v/>
      </c>
      <c r="M139" s="326" t="n"/>
      <c r="N139" s="326" t="n"/>
      <c r="O139" s="326" t="n"/>
      <c r="P139" s="327" t="n"/>
    </row>
    <row r="140" ht="15.75" customHeight="1" s="30">
      <c r="B140" s="332" t="n"/>
      <c r="C140" s="33" t="n"/>
      <c r="D140" s="322" t="n"/>
      <c r="E140" s="321" t="n"/>
      <c r="F140" s="33" t="n"/>
      <c r="G140" s="322" t="n"/>
      <c r="H140" s="321" t="n"/>
      <c r="I140" s="33" t="n"/>
      <c r="J140" s="333" t="n"/>
      <c r="L140" s="328" t="n"/>
      <c r="P140" s="334" t="n"/>
      <c r="S140" s="70" t="inlineStr">
        <is>
          <t>M/A</t>
        </is>
      </c>
      <c r="T140" s="70" t="inlineStr">
        <is>
          <t>B</t>
        </is>
      </c>
    </row>
    <row r="141" ht="14.25" customHeight="1" s="30">
      <c r="B141" s="178" t="inlineStr">
        <is>
          <t>Até 10 PF</t>
        </is>
      </c>
      <c r="C141" s="38" t="n"/>
      <c r="D141" s="72" t="n"/>
      <c r="E141" s="179" t="inlineStr">
        <is>
          <t>9 dias</t>
        </is>
      </c>
      <c r="F141" s="38" t="n"/>
      <c r="G141" s="72" t="n"/>
      <c r="H141" s="335" t="inlineStr">
        <is>
          <t>15 dias</t>
        </is>
      </c>
      <c r="I141" s="38" t="n"/>
      <c r="J141" s="336" t="n"/>
      <c r="L141" s="328" t="n"/>
      <c r="P141" s="334" t="n"/>
      <c r="R141" s="94">
        <f>IF(AND(R138&lt;10.1,R138&gt;0,V145="MEDIA/ALTA"),15,0)</f>
        <v/>
      </c>
      <c r="S141" t="n">
        <v>15</v>
      </c>
      <c r="T141" t="n">
        <v>9</v>
      </c>
      <c r="U141" s="69">
        <f>IF(AND(R138&lt;10.1,R138&gt;0,V145="BAIXA"),9,0)</f>
        <v/>
      </c>
      <c r="V141" s="72" t="inlineStr">
        <is>
          <t>baixa</t>
        </is>
      </c>
      <c r="W141" s="68">
        <f>SUM(Funções!S4:S178)</f>
        <v/>
      </c>
    </row>
    <row r="142" ht="14.25" customHeight="1" s="30">
      <c r="B142" s="178" t="inlineStr">
        <is>
          <t>De 11 PF a 20 PF</t>
        </is>
      </c>
      <c r="C142" s="38" t="n"/>
      <c r="D142" s="72" t="n"/>
      <c r="E142" s="179" t="inlineStr">
        <is>
          <t>18 dias</t>
        </is>
      </c>
      <c r="F142" s="38" t="n"/>
      <c r="G142" s="72" t="n"/>
      <c r="H142" s="335" t="inlineStr">
        <is>
          <t>30 dias</t>
        </is>
      </c>
      <c r="I142" s="38" t="n"/>
      <c r="J142" s="336" t="n"/>
      <c r="L142" s="328" t="n"/>
      <c r="P142" s="334" t="n"/>
      <c r="R142" s="94">
        <f>IF(AND(R138&lt;21,R138&gt;10.1,V145="MEDIA/ALTA"),30,0)</f>
        <v/>
      </c>
      <c r="S142" t="n">
        <v>30</v>
      </c>
      <c r="T142" t="n">
        <v>18</v>
      </c>
      <c r="U142" s="94">
        <f>IF(AND(R138&lt;21,R138&gt;10.1,V145="BAIXA"),18,0)</f>
        <v/>
      </c>
      <c r="V142" s="72" t="inlineStr">
        <is>
          <t>media/alta</t>
        </is>
      </c>
      <c r="W142" s="68">
        <f>SUM(Funções!T4:T178)</f>
        <v/>
      </c>
    </row>
    <row r="143" ht="14.25" customHeight="1" s="30">
      <c r="B143" s="178" t="inlineStr">
        <is>
          <t>De 21 PF a 30 PF</t>
        </is>
      </c>
      <c r="C143" s="38" t="n"/>
      <c r="D143" s="72" t="n"/>
      <c r="E143" s="179" t="inlineStr">
        <is>
          <t>27 dias</t>
        </is>
      </c>
      <c r="F143" s="38" t="n"/>
      <c r="G143" s="72" t="n"/>
      <c r="H143" s="335" t="inlineStr">
        <is>
          <t>45 dias</t>
        </is>
      </c>
      <c r="I143" s="38" t="n"/>
      <c r="J143" s="336" t="n"/>
      <c r="L143" s="328" t="n"/>
      <c r="P143" s="334" t="n"/>
      <c r="R143" s="94">
        <f>IF(AND(R138&lt;31,R138&gt;20,V145="MEDIA/ALTA"),45,0)</f>
        <v/>
      </c>
      <c r="S143" t="n">
        <v>45</v>
      </c>
      <c r="T143" t="n">
        <v>27</v>
      </c>
      <c r="U143" s="94">
        <f>IF(AND(R138&lt;31,R138&gt;20,V145="BAIXA"),27,0)</f>
        <v/>
      </c>
    </row>
    <row r="144" ht="14.25" customHeight="1" s="30">
      <c r="B144" s="178" t="inlineStr">
        <is>
          <t>De 31 PF a 40 PF</t>
        </is>
      </c>
      <c r="C144" s="38" t="n"/>
      <c r="D144" s="72" t="n"/>
      <c r="E144" s="179" t="inlineStr">
        <is>
          <t>36 dias</t>
        </is>
      </c>
      <c r="F144" s="38" t="n"/>
      <c r="G144" s="72" t="n"/>
      <c r="H144" s="335" t="inlineStr">
        <is>
          <t>60 dias</t>
        </is>
      </c>
      <c r="I144" s="38" t="n"/>
      <c r="J144" s="336" t="n"/>
      <c r="L144" s="328" t="n"/>
      <c r="P144" s="334" t="n"/>
      <c r="R144" s="94">
        <f>IF(AND(R138&lt;41,R138&gt;30,V145="MEDIA/ALTA"),60,0)</f>
        <v/>
      </c>
      <c r="S144" t="n">
        <v>60</v>
      </c>
      <c r="T144" t="n">
        <v>36</v>
      </c>
      <c r="U144" s="94">
        <f>IF(AND(R138&lt;41,R138&gt;30,V145="BAIXA"),36,0)</f>
        <v/>
      </c>
      <c r="V144" s="71" t="inlineStr">
        <is>
          <t>PREDOMINANCIA</t>
        </is>
      </c>
    </row>
    <row r="145" ht="14.25" customHeight="1" s="30">
      <c r="B145" s="178" t="inlineStr">
        <is>
          <t>De 41 PF a 50 PF</t>
        </is>
      </c>
      <c r="C145" s="38" t="n"/>
      <c r="D145" s="72" t="n"/>
      <c r="E145" s="179" t="inlineStr">
        <is>
          <t>45 dias</t>
        </is>
      </c>
      <c r="F145" s="38" t="n"/>
      <c r="G145" s="72" t="n"/>
      <c r="H145" s="335" t="inlineStr">
        <is>
          <t>75 dias</t>
        </is>
      </c>
      <c r="I145" s="38" t="n"/>
      <c r="J145" s="336" t="n"/>
      <c r="L145" s="328" t="n"/>
      <c r="P145" s="334" t="n"/>
      <c r="R145" s="94">
        <f>IF(AND(R138&lt;51,R138&gt;40,V145="MEDIA/ALTA"),75,0)</f>
        <v/>
      </c>
      <c r="S145" t="n">
        <v>75</v>
      </c>
      <c r="T145" t="n">
        <v>45</v>
      </c>
      <c r="U145" s="94">
        <f>IF(AND(R138&lt;51,R138&gt;40,V145="BAIXA"),45,0)</f>
        <v/>
      </c>
      <c r="V145">
        <f>IF(W141&gt;W142,"BAIXA",
IF(W141=W142,"MEDIA/ALTA",
"MEDIA/ALTA"))</f>
        <v/>
      </c>
    </row>
    <row r="146" ht="14.25" customHeight="1" s="30">
      <c r="B146" s="178" t="inlineStr">
        <is>
          <t>De 51 PF a 60 PF</t>
        </is>
      </c>
      <c r="C146" s="38" t="n"/>
      <c r="D146" s="72" t="n"/>
      <c r="E146" s="179" t="inlineStr">
        <is>
          <t>54 dias</t>
        </is>
      </c>
      <c r="F146" s="38" t="n"/>
      <c r="G146" s="72" t="n"/>
      <c r="H146" s="335" t="inlineStr">
        <is>
          <t>90 dias</t>
        </is>
      </c>
      <c r="I146" s="38" t="n"/>
      <c r="J146" s="336" t="n"/>
      <c r="L146" s="328" t="n"/>
      <c r="P146" s="334" t="n"/>
      <c r="R146" s="94">
        <f>IF(AND(R138&lt;61,R138&gt;50,V145="MEDIA/ALTA"),90,0)</f>
        <v/>
      </c>
      <c r="S146" t="n">
        <v>90</v>
      </c>
      <c r="T146" t="n">
        <v>54</v>
      </c>
      <c r="U146" s="94">
        <f>IF(AND(R138&lt;61,R138&gt;50,V145="BAIXA"),54,0)</f>
        <v/>
      </c>
    </row>
    <row r="147" ht="14.25" customHeight="1" s="30" thickBot="1">
      <c r="B147" s="178" t="inlineStr">
        <is>
          <t>De 61 PF a 70 PF</t>
        </is>
      </c>
      <c r="C147" s="38" t="n"/>
      <c r="D147" s="72" t="n"/>
      <c r="E147" s="179" t="inlineStr">
        <is>
          <t>63 dias</t>
        </is>
      </c>
      <c r="F147" s="38" t="n"/>
      <c r="G147" s="72" t="n"/>
      <c r="H147" s="335" t="inlineStr">
        <is>
          <t>105 dias</t>
        </is>
      </c>
      <c r="I147" s="38" t="n"/>
      <c r="J147" s="336" t="n"/>
      <c r="L147" s="337" t="n"/>
      <c r="M147" s="338" t="n"/>
      <c r="N147" s="338" t="n"/>
      <c r="O147" s="338" t="n"/>
      <c r="P147" s="339" t="n"/>
      <c r="R147" s="94">
        <f>IF(AND(R138&lt;71,R138&gt;60,V145="MEDIA/ALTA"),105,0)</f>
        <v/>
      </c>
      <c r="S147" t="n">
        <v>105</v>
      </c>
      <c r="T147" t="n">
        <v>63</v>
      </c>
      <c r="U147" s="94">
        <f>IF(AND(R138&lt;71,R138&gt;60,V145="BAIXA"),63,0)</f>
        <v/>
      </c>
    </row>
    <row r="148" ht="14.25" customHeight="1" s="30">
      <c r="B148" s="178" t="inlineStr">
        <is>
          <t>De 71 PF a 85 PF</t>
        </is>
      </c>
      <c r="C148" s="38" t="n"/>
      <c r="D148" s="72" t="n"/>
      <c r="E148" s="179" t="inlineStr">
        <is>
          <t>70 dias</t>
        </is>
      </c>
      <c r="F148" s="38" t="n"/>
      <c r="G148" s="72" t="n"/>
      <c r="H148" s="335" t="inlineStr">
        <is>
          <t>110 dias</t>
        </is>
      </c>
      <c r="I148" s="38" t="n"/>
      <c r="J148" s="336" t="n"/>
      <c r="R148" s="94">
        <f>IF(AND(R138&lt;86,R138&gt;70,V145="MEDIA/ALTA"),110,0)</f>
        <v/>
      </c>
      <c r="S148" t="n">
        <v>110</v>
      </c>
      <c r="T148" t="n">
        <v>70</v>
      </c>
      <c r="U148" s="94">
        <f>IF(AND(R138&lt;86,R138&gt;70,V145="BAIXA"),70,0)</f>
        <v/>
      </c>
    </row>
    <row r="149" ht="14.25" customHeight="1" s="30" thickBot="1">
      <c r="B149" s="203" t="inlineStr">
        <is>
          <t>De 86 PF a 99 PF</t>
        </is>
      </c>
      <c r="C149" s="340" t="n"/>
      <c r="D149" s="341" t="n"/>
      <c r="E149" s="200" t="inlineStr">
        <is>
          <t>79 dias</t>
        </is>
      </c>
      <c r="F149" s="340" t="n"/>
      <c r="G149" s="341" t="n"/>
      <c r="H149" s="342" t="inlineStr">
        <is>
          <t>110 dias</t>
        </is>
      </c>
      <c r="I149" s="340" t="n"/>
      <c r="J149" s="343" t="n"/>
      <c r="R149" s="94">
        <f>IF(AND(R138&lt;100,R138&gt;85,V145="MEDIA/ALTA"),110,0)</f>
        <v/>
      </c>
      <c r="S149" t="n">
        <v>110</v>
      </c>
      <c r="T149" t="n">
        <v>79</v>
      </c>
      <c r="U149" s="94">
        <f>IF(AND(R138&lt;100,R138&gt;85,V145="BAIXA"),79,0)</f>
        <v/>
      </c>
    </row>
    <row r="151" ht="18" customHeight="1" s="30">
      <c r="B151" s="344">
        <f>IF(O120&gt;100,"Prazos Estimados de Projetos acima de 100 PF", " ")</f>
        <v/>
      </c>
      <c r="C151" s="345" t="n"/>
      <c r="D151" s="345" t="n"/>
      <c r="E151" s="345" t="n"/>
      <c r="F151" s="345" t="n"/>
      <c r="G151" s="345" t="n"/>
      <c r="H151" s="345" t="n"/>
      <c r="I151" s="345" t="n"/>
      <c r="J151" s="346" t="n"/>
      <c r="S151" t="inlineStr">
        <is>
          <t>SOMA:</t>
        </is>
      </c>
      <c r="T151" s="82">
        <f>SUM(R141,R142,R143,R144,R145,R146,R147,R148,R149,U141,U142,U143,U144,U145,U146,U147,U148,U149)</f>
        <v/>
      </c>
      <c r="V151" s="68" t="inlineStr">
        <is>
          <t>TOTAL FINAL:</t>
        </is>
      </c>
      <c r="W151" s="82">
        <f>SUM(T151,R154)</f>
        <v/>
      </c>
    </row>
    <row r="152" ht="20.25" customHeight="1" s="30">
      <c r="B152" s="212">
        <f>IF(O120&gt;100,"Data Inicio Estimado", " ")</f>
        <v/>
      </c>
      <c r="C152" s="347" t="n"/>
      <c r="D152" s="214">
        <f>IF(O120&gt;100,Contagem!E11," ")</f>
        <v/>
      </c>
      <c r="E152" s="347" t="n"/>
      <c r="F152" s="208">
        <f>IF(O120&gt;100,"Data Máxima de Execução"," ")</f>
        <v/>
      </c>
      <c r="G152" s="348" t="n"/>
      <c r="H152" s="348" t="n"/>
      <c r="I152" s="348" t="n"/>
      <c r="J152" s="347" t="n"/>
    </row>
    <row r="153" ht="21" customHeight="1" s="30" thickBot="1">
      <c r="B153" s="215">
        <f>IF(O120&gt;100, "Prazo de Execução", " ")</f>
        <v/>
      </c>
      <c r="C153" s="349" t="n"/>
      <c r="D153" s="350">
        <f>IF(O120&gt;100,O120^0.38," ")</f>
        <v/>
      </c>
      <c r="E153" s="93">
        <f>IF(O120&gt;100,"meses", " ")</f>
        <v/>
      </c>
      <c r="F153" s="210">
        <f>IF(O120&gt;100,WORKDAY(D152,R154), " ")</f>
        <v/>
      </c>
      <c r="G153" s="351" t="n"/>
      <c r="H153" s="351" t="n"/>
      <c r="I153" s="351" t="n"/>
      <c r="J153" s="349" t="n"/>
      <c r="R153" s="68" t="inlineStr">
        <is>
          <t>DIAS UTEIS ACIMA DE 100PF</t>
        </is>
      </c>
      <c r="S153" s="72" t="n"/>
      <c r="T153" s="38" t="n"/>
      <c r="U153" s="72" t="n"/>
    </row>
    <row r="154">
      <c r="F154" s="81" t="n"/>
      <c r="R154" s="83">
        <f>IF(O120&lt;100,0,D153*22)</f>
        <v/>
      </c>
    </row>
    <row r="155">
      <c r="F155" s="81" t="n"/>
    </row>
    <row r="156">
      <c r="F156" s="81" t="n"/>
    </row>
    <row r="157">
      <c r="F157" s="81" t="n"/>
    </row>
  </sheetData>
  <mergeCells count="73">
    <mergeCell ref="E138:J138"/>
    <mergeCell ref="B153:C153"/>
    <mergeCell ref="E143:G143"/>
    <mergeCell ref="B151:J151"/>
    <mergeCell ref="J124:P124"/>
    <mergeCell ref="H142:J142"/>
    <mergeCell ref="E139:G140"/>
    <mergeCell ref="B145:D145"/>
    <mergeCell ref="D10:H10"/>
    <mergeCell ref="B148:D148"/>
    <mergeCell ref="J125:P125"/>
    <mergeCell ref="D127:P127"/>
    <mergeCell ref="I11:P11"/>
    <mergeCell ref="O120:P120"/>
    <mergeCell ref="E149:G149"/>
    <mergeCell ref="H144:J144"/>
    <mergeCell ref="B147:D147"/>
    <mergeCell ref="D8:P8"/>
    <mergeCell ref="L137:P137"/>
    <mergeCell ref="D130:P130"/>
    <mergeCell ref="E148:G148"/>
    <mergeCell ref="B4:P5"/>
    <mergeCell ref="B124:H124"/>
    <mergeCell ref="E147:G147"/>
    <mergeCell ref="D133:P133"/>
    <mergeCell ref="B152:C152"/>
    <mergeCell ref="D129:P129"/>
    <mergeCell ref="B146:D146"/>
    <mergeCell ref="D132:P132"/>
    <mergeCell ref="B137:J137"/>
    <mergeCell ref="B143:D143"/>
    <mergeCell ref="H149:J149"/>
    <mergeCell ref="B125:H125"/>
    <mergeCell ref="E144:G144"/>
    <mergeCell ref="L139:P147"/>
    <mergeCell ref="B8:C8"/>
    <mergeCell ref="F153:J153"/>
    <mergeCell ref="I12:M12"/>
    <mergeCell ref="B142:D142"/>
    <mergeCell ref="D128:P128"/>
    <mergeCell ref="B6:P6"/>
    <mergeCell ref="H145:J145"/>
    <mergeCell ref="D131:P131"/>
    <mergeCell ref="K10:P10"/>
    <mergeCell ref="H148:J148"/>
    <mergeCell ref="E146:G146"/>
    <mergeCell ref="B10:C10"/>
    <mergeCell ref="H141:J141"/>
    <mergeCell ref="E145:G145"/>
    <mergeCell ref="B144:D144"/>
    <mergeCell ref="B9:C9"/>
    <mergeCell ref="H147:J147"/>
    <mergeCell ref="B138:D140"/>
    <mergeCell ref="B11:H13"/>
    <mergeCell ref="D9:H9"/>
    <mergeCell ref="D152:E152"/>
    <mergeCell ref="B141:D141"/>
    <mergeCell ref="B7:P7"/>
    <mergeCell ref="F152:J152"/>
    <mergeCell ref="K9:P9"/>
    <mergeCell ref="E142:G142"/>
    <mergeCell ref="B121:P121"/>
    <mergeCell ref="H146:J146"/>
    <mergeCell ref="B3:P3"/>
    <mergeCell ref="B149:D149"/>
    <mergeCell ref="E141:G141"/>
    <mergeCell ref="D135:P135"/>
    <mergeCell ref="I10:J10"/>
    <mergeCell ref="H143:J143"/>
    <mergeCell ref="D134:P134"/>
    <mergeCell ref="N12:P12"/>
    <mergeCell ref="H139:J140"/>
    <mergeCell ref="I9:J9"/>
  </mergeCells>
  <conditionalFormatting sqref="B142">
    <cfRule type="expression" priority="58" dxfId="1" stopIfTrue="1">
      <formula>IF(AND(R138&lt;21,R138&gt;10.1),1)</formula>
    </cfRule>
  </conditionalFormatting>
  <conditionalFormatting sqref="H142">
    <cfRule type="expression" priority="48" dxfId="27" stopIfTrue="1">
      <formula>IF(AND($F141&lt;21,$F141&gt;10.1),1)</formula>
    </cfRule>
  </conditionalFormatting>
  <conditionalFormatting sqref="B141">
    <cfRule type="expression" priority="31" dxfId="1" stopIfTrue="1">
      <formula>IF(AND(R138&lt;10.1,R138&gt;0),1)</formula>
    </cfRule>
  </conditionalFormatting>
  <conditionalFormatting sqref="E141:G141">
    <cfRule type="expression" priority="30" dxfId="1" stopIfTrue="1">
      <formula>IF(AND(R138&lt;10.1,R138&gt;0),1)</formula>
    </cfRule>
  </conditionalFormatting>
  <conditionalFormatting sqref="H141:J141">
    <cfRule type="expression" priority="29" dxfId="1" stopIfTrue="1">
      <formula>IF(AND(R138&lt;10.1,R138&gt;0),1)</formula>
    </cfRule>
  </conditionalFormatting>
  <conditionalFormatting sqref="E142:G142">
    <cfRule type="expression" priority="28" dxfId="1" stopIfTrue="1">
      <formula>IF(AND(R138&lt;21,R138&gt;10.1),1)</formula>
    </cfRule>
  </conditionalFormatting>
  <conditionalFormatting sqref="H142:J142">
    <cfRule type="expression" priority="27" dxfId="1" stopIfTrue="1">
      <formula>IF(AND(R138&lt;21,R138&gt;10.1),1)</formula>
    </cfRule>
  </conditionalFormatting>
  <conditionalFormatting sqref="B143:D143">
    <cfRule type="expression" priority="26" dxfId="1" stopIfTrue="1">
      <formula>IF(AND(R138&lt;31,R138&gt;20),1)</formula>
    </cfRule>
  </conditionalFormatting>
  <conditionalFormatting sqref="E143:G143">
    <cfRule type="expression" priority="25" dxfId="1" stopIfTrue="1">
      <formula>IF(AND(R138&lt;31,R138&gt;20),1)</formula>
    </cfRule>
  </conditionalFormatting>
  <conditionalFormatting sqref="H143:J143">
    <cfRule type="expression" priority="24" dxfId="1" stopIfTrue="1">
      <formula>IF(AND(R138&lt;31,R138&gt;20),1)</formula>
    </cfRule>
  </conditionalFormatting>
  <conditionalFormatting sqref="B144:D144">
    <cfRule type="expression" priority="23" dxfId="1" stopIfTrue="1">
      <formula>IF(AND(R138&lt;41,R138&gt;30),1)</formula>
    </cfRule>
  </conditionalFormatting>
  <conditionalFormatting sqref="E144:G144">
    <cfRule type="expression" priority="22" dxfId="1" stopIfTrue="1">
      <formula>IF(AND(R138&lt;41,R138&gt;30),1)</formula>
    </cfRule>
  </conditionalFormatting>
  <conditionalFormatting sqref="H144:J144">
    <cfRule type="expression" priority="21" dxfId="1" stopIfTrue="1">
      <formula>IF(AND(R138&lt;41,R138&gt;30),1)</formula>
    </cfRule>
  </conditionalFormatting>
  <conditionalFormatting sqref="B145:D145">
    <cfRule type="expression" priority="20" dxfId="1" stopIfTrue="1">
      <formula>IF(AND(R138&lt;51,R138&gt;40),1)</formula>
    </cfRule>
  </conditionalFormatting>
  <conditionalFormatting sqref="E145:G145">
    <cfRule type="expression" priority="19" dxfId="1" stopIfTrue="1">
      <formula>IF(AND(R138&lt;51,R138&gt;40),1)</formula>
    </cfRule>
  </conditionalFormatting>
  <conditionalFormatting sqref="H145:J145">
    <cfRule type="expression" priority="18" dxfId="1" stopIfTrue="1">
      <formula>IF(AND(R138&lt;51,R138&gt;40),1)</formula>
    </cfRule>
  </conditionalFormatting>
  <conditionalFormatting sqref="B146:D146">
    <cfRule type="expression" priority="17" dxfId="1" stopIfTrue="1">
      <formula>IF(AND(R138&lt;61,R138&gt;50),1)</formula>
    </cfRule>
  </conditionalFormatting>
  <conditionalFormatting sqref="E146:G146">
    <cfRule type="expression" priority="16" dxfId="1" stopIfTrue="1">
      <formula>IF(AND(R138&lt;61,R138&gt;50),1)</formula>
    </cfRule>
  </conditionalFormatting>
  <conditionalFormatting sqref="H146:J146">
    <cfRule type="expression" priority="15" dxfId="1" stopIfTrue="1">
      <formula>IF(AND(R138&lt;61,R138&gt;50),1)</formula>
    </cfRule>
  </conditionalFormatting>
  <conditionalFormatting sqref="B147:D147">
    <cfRule type="expression" priority="14" dxfId="1" stopIfTrue="1">
      <formula>IF(AND(R138&lt;71,R138&gt;60),1)</formula>
    </cfRule>
  </conditionalFormatting>
  <conditionalFormatting sqref="E147:G147">
    <cfRule type="expression" priority="13" dxfId="1" stopIfTrue="1">
      <formula>IF(AND(R138&lt;71,R138&gt;60),1)</formula>
    </cfRule>
  </conditionalFormatting>
  <conditionalFormatting sqref="H147:J147">
    <cfRule type="expression" priority="12" dxfId="1" stopIfTrue="1">
      <formula>IF(AND(R138&lt;71,R138&gt;60),1)</formula>
    </cfRule>
  </conditionalFormatting>
  <conditionalFormatting sqref="B148:D148">
    <cfRule type="expression" priority="11" dxfId="1" stopIfTrue="1">
      <formula>IF(AND(R138&lt;86,R138&gt;70),1)</formula>
    </cfRule>
  </conditionalFormatting>
  <conditionalFormatting sqref="E148:G148">
    <cfRule type="expression" priority="10" dxfId="1" stopIfTrue="1">
      <formula>IF(AND(R138&lt;86,R138&gt;70),1)</formula>
    </cfRule>
  </conditionalFormatting>
  <conditionalFormatting sqref="H148:J148">
    <cfRule type="expression" priority="9" dxfId="1" stopIfTrue="1">
      <formula>IF(AND(R138&lt;86,R138&gt;70),1)</formula>
    </cfRule>
  </conditionalFormatting>
  <conditionalFormatting sqref="B149:D149">
    <cfRule type="expression" priority="8" dxfId="1" stopIfTrue="1">
      <formula>IF(AND(R138&lt;100,R138&gt;85),1)</formula>
    </cfRule>
  </conditionalFormatting>
  <conditionalFormatting sqref="E149:G149">
    <cfRule type="expression" priority="7" dxfId="1" stopIfTrue="1">
      <formula>IF(AND(R138&lt;100,R138&gt;85),1)</formula>
    </cfRule>
  </conditionalFormatting>
  <conditionalFormatting sqref="H149:J149">
    <cfRule type="expression" priority="6" dxfId="1" stopIfTrue="1">
      <formula>IF(AND(R138&lt;100,R138&gt;85),1)</formula>
    </cfRule>
  </conditionalFormatting>
  <conditionalFormatting sqref="D153">
    <cfRule type="expression" priority="2" dxfId="0" stopIfTrue="1">
      <formula>IF(AND($K153="menor que 100 pf"),1)</formula>
    </cfRule>
  </conditionalFormatting>
  <pageMargins left="0.511811024" right="0.511811024" top="0.787401575" bottom="0.787401575" header="0.31496062" footer="0.31496062"/>
  <pageSetup orientation="portrait" paperSize="9" scale="64"/>
</worksheet>
</file>

<file path=xl/worksheets/sheet4.xml><?xml version="1.0" encoding="utf-8"?>
<worksheet xmlns="http://schemas.openxmlformats.org/spreadsheetml/2006/main">
  <sheetPr codeName="Planilha4">
    <outlinePr summaryBelow="1" summaryRight="1"/>
    <pageSetUpPr/>
  </sheetPr>
  <dimension ref="A2:D85"/>
  <sheetViews>
    <sheetView zoomScale="50" zoomScaleNormal="50" workbookViewId="0">
      <selection activeCell="A1" sqref="A1"/>
    </sheetView>
  </sheetViews>
  <sheetFormatPr baseColWidth="8" defaultRowHeight="14.25"/>
  <cols>
    <col width="5.75" customWidth="1" style="30" min="1" max="1"/>
    <col width="40" bestFit="1" customWidth="1" style="30" min="2" max="2"/>
    <col width="102" customWidth="1" style="30" min="3" max="3"/>
  </cols>
  <sheetData>
    <row r="2" ht="15" customHeight="1" s="30" thickBot="1">
      <c r="A2" s="53" t="n"/>
      <c r="B2" s="53" t="n"/>
      <c r="C2" s="53" t="n"/>
      <c r="D2" s="53" t="n"/>
    </row>
    <row r="3" ht="21" customHeight="1" s="30" thickBot="1">
      <c r="A3" s="53" t="n"/>
      <c r="B3" s="54" t="inlineStr">
        <is>
          <t>Nome da funcionalidade</t>
        </is>
      </c>
      <c r="C3" s="54" t="inlineStr">
        <is>
          <t>Tela da funcionalidade</t>
        </is>
      </c>
      <c r="D3" s="53" t="n"/>
    </row>
    <row r="4">
      <c r="A4" s="53" t="n"/>
      <c r="B4" s="352" t="n"/>
      <c r="C4" s="353" t="n"/>
      <c r="D4" s="55" t="n"/>
    </row>
    <row r="5">
      <c r="A5" s="53" t="n"/>
      <c r="B5" s="354" t="n"/>
      <c r="C5" s="354" t="n"/>
      <c r="D5" s="55" t="n"/>
    </row>
    <row r="6">
      <c r="A6" s="53" t="n"/>
      <c r="B6" s="354" t="n"/>
      <c r="C6" s="354" t="n"/>
      <c r="D6" s="55" t="n"/>
    </row>
    <row r="7">
      <c r="A7" s="53" t="n"/>
      <c r="B7" s="354" t="n"/>
      <c r="C7" s="354" t="n"/>
      <c r="D7" s="55" t="n"/>
    </row>
    <row r="8">
      <c r="A8" s="53" t="n"/>
      <c r="B8" s="354" t="n"/>
      <c r="C8" s="354" t="n"/>
      <c r="D8" s="55" t="n"/>
    </row>
    <row r="9">
      <c r="A9" s="53" t="n"/>
      <c r="B9" s="354" t="n"/>
      <c r="C9" s="354" t="n"/>
      <c r="D9" s="55" t="n"/>
    </row>
    <row r="10">
      <c r="A10" s="53" t="n"/>
      <c r="B10" s="354" t="n"/>
      <c r="C10" s="354" t="n"/>
      <c r="D10" s="55" t="n"/>
    </row>
    <row r="11">
      <c r="B11" s="354" t="n"/>
      <c r="C11" s="354" t="n"/>
      <c r="D11" s="55" t="n"/>
    </row>
    <row r="12">
      <c r="B12" s="354" t="n"/>
      <c r="C12" s="354" t="n"/>
    </row>
    <row r="13">
      <c r="B13" s="355" t="n"/>
      <c r="C13" s="355" t="n"/>
    </row>
    <row r="15" ht="15" customHeight="1" s="30">
      <c r="B15" s="356" t="n"/>
      <c r="C15" s="357" t="n"/>
    </row>
    <row r="16" ht="15" customHeight="1" s="30">
      <c r="B16" s="354" t="n"/>
      <c r="C16" s="354" t="n"/>
    </row>
    <row r="17" ht="15" customHeight="1" s="30">
      <c r="B17" s="354" t="n"/>
      <c r="C17" s="354" t="n"/>
    </row>
    <row r="18" ht="15" customHeight="1" s="30">
      <c r="B18" s="354" t="n"/>
      <c r="C18" s="354" t="n"/>
    </row>
    <row r="19" ht="15" customHeight="1" s="30">
      <c r="B19" s="354" t="n"/>
      <c r="C19" s="354" t="n"/>
    </row>
    <row r="20" ht="15" customHeight="1" s="30">
      <c r="B20" s="354" t="n"/>
      <c r="C20" s="354" t="n"/>
    </row>
    <row r="21" ht="15" customHeight="1" s="30">
      <c r="B21" s="354" t="n"/>
      <c r="C21" s="354" t="n"/>
    </row>
    <row r="22" ht="15" customHeight="1" s="30">
      <c r="B22" s="355" t="n"/>
      <c r="C22" s="355" t="n"/>
    </row>
    <row r="24" ht="15" customHeight="1" s="30">
      <c r="B24" s="356" t="n"/>
      <c r="C24" s="357" t="n"/>
    </row>
    <row r="25" ht="15" customHeight="1" s="30">
      <c r="B25" s="354" t="n"/>
      <c r="C25" s="354" t="n"/>
    </row>
    <row r="26" ht="15" customHeight="1" s="30">
      <c r="B26" s="354" t="n"/>
      <c r="C26" s="354" t="n"/>
    </row>
    <row r="27" ht="15" customHeight="1" s="30">
      <c r="B27" s="354" t="n"/>
      <c r="C27" s="354" t="n"/>
    </row>
    <row r="28" ht="15" customHeight="1" s="30">
      <c r="B28" s="354" t="n"/>
      <c r="C28" s="354" t="n"/>
    </row>
    <row r="29" ht="15" customHeight="1" s="30">
      <c r="B29" s="354" t="n"/>
      <c r="C29" s="354" t="n"/>
    </row>
    <row r="30" ht="15" customHeight="1" s="30">
      <c r="B30" s="354" t="n"/>
      <c r="C30" s="354" t="n"/>
    </row>
    <row r="31" ht="15" customHeight="1" s="30">
      <c r="B31" s="355" t="n"/>
      <c r="C31" s="355" t="n"/>
    </row>
    <row r="33" ht="15" customHeight="1" s="30">
      <c r="B33" s="356" t="n"/>
      <c r="C33" s="358" t="n"/>
    </row>
    <row r="34" ht="15" customHeight="1" s="30">
      <c r="B34" s="354" t="n"/>
      <c r="C34" s="354" t="n"/>
    </row>
    <row r="35" ht="15" customHeight="1" s="30">
      <c r="B35" s="354" t="n"/>
      <c r="C35" s="354" t="n"/>
    </row>
    <row r="36" ht="15" customHeight="1" s="30">
      <c r="B36" s="354" t="n"/>
      <c r="C36" s="354" t="n"/>
    </row>
    <row r="37" ht="15" customHeight="1" s="30">
      <c r="B37" s="354" t="n"/>
      <c r="C37" s="354" t="n"/>
    </row>
    <row r="38" ht="15" customHeight="1" s="30">
      <c r="B38" s="354" t="n"/>
      <c r="C38" s="354" t="n"/>
    </row>
    <row r="39" ht="15" customHeight="1" s="30">
      <c r="B39" s="354" t="n"/>
      <c r="C39" s="354" t="n"/>
    </row>
    <row r="40" ht="15" customHeight="1" s="30">
      <c r="B40" s="355" t="n"/>
      <c r="C40" s="355" t="n"/>
    </row>
    <row r="42" ht="15" customHeight="1" s="30">
      <c r="B42" s="356" t="n"/>
      <c r="C42" s="357" t="n"/>
    </row>
    <row r="43" ht="15" customHeight="1" s="30">
      <c r="B43" s="354" t="n"/>
      <c r="C43" s="354" t="n"/>
    </row>
    <row r="44" ht="15" customHeight="1" s="30">
      <c r="B44" s="354" t="n"/>
      <c r="C44" s="354" t="n"/>
    </row>
    <row r="45" ht="15" customHeight="1" s="30">
      <c r="B45" s="354" t="n"/>
      <c r="C45" s="354" t="n"/>
    </row>
    <row r="46" ht="15" customHeight="1" s="30">
      <c r="B46" s="354" t="n"/>
      <c r="C46" s="354" t="n"/>
    </row>
    <row r="47" ht="15" customHeight="1" s="30">
      <c r="B47" s="354" t="n"/>
      <c r="C47" s="354" t="n"/>
    </row>
    <row r="48" ht="15" customHeight="1" s="30">
      <c r="B48" s="354" t="n"/>
      <c r="C48" s="354" t="n"/>
    </row>
    <row r="49" ht="15" customHeight="1" s="30">
      <c r="B49" s="355" t="n"/>
      <c r="C49" s="355" t="n"/>
    </row>
    <row r="51" ht="15" customHeight="1" s="30">
      <c r="B51" s="356" t="n"/>
      <c r="C51" s="357" t="n"/>
    </row>
    <row r="52" ht="15" customHeight="1" s="30">
      <c r="B52" s="354" t="n"/>
      <c r="C52" s="354" t="n"/>
    </row>
    <row r="53" ht="15" customHeight="1" s="30">
      <c r="B53" s="354" t="n"/>
      <c r="C53" s="354" t="n"/>
    </row>
    <row r="54" ht="15" customHeight="1" s="30">
      <c r="B54" s="354" t="n"/>
      <c r="C54" s="354" t="n"/>
    </row>
    <row r="55" ht="15" customHeight="1" s="30">
      <c r="B55" s="354" t="n"/>
      <c r="C55" s="354" t="n"/>
    </row>
    <row r="56" ht="15" customHeight="1" s="30">
      <c r="B56" s="354" t="n"/>
      <c r="C56" s="354" t="n"/>
    </row>
    <row r="57" ht="15" customHeight="1" s="30">
      <c r="B57" s="354" t="n"/>
      <c r="C57" s="354" t="n"/>
    </row>
    <row r="58" ht="15" customHeight="1" s="30">
      <c r="B58" s="355" t="n"/>
      <c r="C58" s="355" t="n"/>
    </row>
    <row r="60" ht="15" customHeight="1" s="30">
      <c r="B60" s="356" t="n"/>
      <c r="C60" s="358" t="n"/>
    </row>
    <row r="61" ht="15" customHeight="1" s="30">
      <c r="B61" s="354" t="n"/>
      <c r="C61" s="354" t="n"/>
    </row>
    <row r="62" ht="15" customHeight="1" s="30">
      <c r="B62" s="354" t="n"/>
      <c r="C62" s="354" t="n"/>
    </row>
    <row r="63" ht="15" customHeight="1" s="30">
      <c r="B63" s="354" t="n"/>
      <c r="C63" s="354" t="n"/>
    </row>
    <row r="64" ht="15" customHeight="1" s="30">
      <c r="B64" s="354" t="n"/>
      <c r="C64" s="354" t="n"/>
    </row>
    <row r="65" ht="15" customHeight="1" s="30">
      <c r="B65" s="354" t="n"/>
      <c r="C65" s="354" t="n"/>
    </row>
    <row r="66" ht="15" customHeight="1" s="30">
      <c r="B66" s="354" t="n"/>
      <c r="C66" s="354" t="n"/>
    </row>
    <row r="67" ht="15" customHeight="1" s="30">
      <c r="B67" s="355" t="n"/>
      <c r="C67" s="355" t="n"/>
    </row>
    <row r="69" ht="15" customHeight="1" s="30">
      <c r="B69" s="356" t="n"/>
      <c r="C69" s="357" t="n"/>
    </row>
    <row r="70" ht="15" customHeight="1" s="30">
      <c r="B70" s="354" t="n"/>
      <c r="C70" s="354" t="n"/>
    </row>
    <row r="71" ht="15" customHeight="1" s="30">
      <c r="B71" s="354" t="n"/>
      <c r="C71" s="354" t="n"/>
    </row>
    <row r="72" ht="15" customHeight="1" s="30">
      <c r="B72" s="354" t="n"/>
      <c r="C72" s="354" t="n"/>
    </row>
    <row r="73" ht="15" customHeight="1" s="30">
      <c r="B73" s="354" t="n"/>
      <c r="C73" s="354" t="n"/>
    </row>
    <row r="74" ht="15" customHeight="1" s="30">
      <c r="B74" s="354" t="n"/>
      <c r="C74" s="354" t="n"/>
    </row>
    <row r="75" ht="15" customHeight="1" s="30">
      <c r="B75" s="354" t="n"/>
      <c r="C75" s="354" t="n"/>
    </row>
    <row r="76" ht="15" customHeight="1" s="30">
      <c r="B76" s="355" t="n"/>
      <c r="C76" s="355" t="n"/>
    </row>
    <row r="78" ht="15" customHeight="1" s="30">
      <c r="B78" s="356" t="n"/>
      <c r="C78" s="357" t="n"/>
    </row>
    <row r="79" ht="15" customHeight="1" s="30">
      <c r="B79" s="354" t="n"/>
      <c r="C79" s="354" t="n"/>
    </row>
    <row r="80" ht="15" customHeight="1" s="30">
      <c r="B80" s="354" t="n"/>
      <c r="C80" s="354" t="n"/>
    </row>
    <row r="81" ht="15" customHeight="1" s="30">
      <c r="B81" s="354" t="n"/>
      <c r="C81" s="354" t="n"/>
    </row>
    <row r="82" ht="15" customHeight="1" s="30">
      <c r="B82" s="354" t="n"/>
      <c r="C82" s="354" t="n"/>
    </row>
    <row r="83" ht="15" customHeight="1" s="30">
      <c r="B83" s="354" t="n"/>
      <c r="C83" s="354" t="n"/>
    </row>
    <row r="84" ht="15" customHeight="1" s="30">
      <c r="B84" s="354" t="n"/>
      <c r="C84" s="354" t="n"/>
    </row>
    <row r="85" ht="15" customHeight="1" s="30">
      <c r="B85" s="355" t="n"/>
      <c r="C85" s="355" t="n"/>
    </row>
  </sheetData>
  <mergeCells count="18">
    <mergeCell ref="C4:C13"/>
    <mergeCell ref="B78:B85"/>
    <mergeCell ref="B69:B76"/>
    <mergeCell ref="B51:B58"/>
    <mergeCell ref="C69:C76"/>
    <mergeCell ref="C78:C85"/>
    <mergeCell ref="B60:B67"/>
    <mergeCell ref="B15:B22"/>
    <mergeCell ref="B33:B40"/>
    <mergeCell ref="C15:C22"/>
    <mergeCell ref="C33:C40"/>
    <mergeCell ref="C51:C58"/>
    <mergeCell ref="B24:B31"/>
    <mergeCell ref="C24:C31"/>
    <mergeCell ref="C42:C49"/>
    <mergeCell ref="C60:C67"/>
    <mergeCell ref="B42:B49"/>
    <mergeCell ref="B4:B13"/>
  </mergeCells>
  <pageMargins left="0.511811024" right="0.511811024" top="0.787401575" bottom="0.787401575" header="0.31496062" footer="0.31496062"/>
</worksheet>
</file>

<file path=xl/worksheets/sheet5.xml><?xml version="1.0" encoding="utf-8"?>
<worksheet xmlns="http://schemas.openxmlformats.org/spreadsheetml/2006/main">
  <sheetPr codeName="Planilha5">
    <outlinePr summaryBelow="1" summaryRight="1"/>
    <pageSetUpPr/>
  </sheetPr>
  <dimension ref="B3:P52"/>
  <sheetViews>
    <sheetView showGridLines="0" topLeftCell="A11" zoomScaleNormal="100" workbookViewId="0">
      <selection activeCell="A2" sqref="A2"/>
    </sheetView>
  </sheetViews>
  <sheetFormatPr baseColWidth="8" defaultRowHeight="14.25"/>
  <cols>
    <col width="9.875" customWidth="1" style="47" min="1" max="1"/>
    <col width="66.625" customWidth="1" style="47" min="2" max="2"/>
    <col width="9.875" customWidth="1" style="47" min="3" max="4"/>
    <col width="22.625" customWidth="1" style="47" min="5" max="5"/>
    <col width="12.75" customWidth="1" style="47" min="6" max="6"/>
    <col width="12.375" customWidth="1" style="47" min="7" max="7"/>
    <col width="26.875" customWidth="1" style="47" min="8" max="8"/>
    <col width="4.875" customWidth="1" style="47" min="9" max="9"/>
    <col width="7.125" customWidth="1" style="47" min="10" max="10"/>
    <col width="7.5" customWidth="1" style="47" min="11" max="11"/>
    <col width="9.875" customWidth="1" style="47" min="12" max="12"/>
    <col width="12.375" customWidth="1" style="47" min="13" max="13"/>
    <col width="12.875" customWidth="1" style="47" min="14" max="14"/>
    <col width="11.625" customWidth="1" style="47" min="15" max="15"/>
    <col width="41.125" customWidth="1" style="47" min="16" max="16"/>
    <col width="9.875" customWidth="1" style="47" min="17" max="26"/>
    <col width="9" customWidth="1" style="47" min="27" max="16384"/>
  </cols>
  <sheetData>
    <row r="1" hidden="1" s="30"/>
    <row r="2" ht="15" customHeight="1" s="30"/>
    <row r="3" ht="20.25" customHeight="1" s="30">
      <c r="B3" s="359" t="inlineStr">
        <is>
          <t>GUIA IFPUG CPM_4.3.1</t>
        </is>
      </c>
      <c r="C3" s="38" t="n"/>
      <c r="D3" s="38" t="n"/>
      <c r="E3" s="38" t="n"/>
      <c r="F3" s="38" t="n"/>
      <c r="G3" s="38" t="n"/>
      <c r="H3" s="38" t="n"/>
      <c r="I3" s="38" t="n"/>
      <c r="J3" s="38" t="n"/>
      <c r="K3" s="38" t="n"/>
      <c r="L3" s="38" t="n"/>
      <c r="M3" s="38" t="n"/>
      <c r="N3" s="38" t="n"/>
      <c r="O3" s="38" t="n"/>
      <c r="P3" s="72" t="n"/>
    </row>
    <row r="4" ht="18" customHeight="1" s="30">
      <c r="B4" s="360" t="inlineStr">
        <is>
          <t xml:space="preserve">5.4.6 Determinar a complexidade funcional de cada função de dados </t>
        </is>
      </c>
      <c r="C4" s="38" t="n"/>
      <c r="D4" s="38" t="n"/>
      <c r="E4" s="38" t="n"/>
      <c r="F4" s="38" t="n"/>
      <c r="G4" s="38" t="n"/>
      <c r="H4" s="72" t="n"/>
      <c r="I4" s="85" t="n"/>
      <c r="J4" s="360" t="inlineStr">
        <is>
          <t xml:space="preserve">5.5.6 Determinar a complexidade funcional para cada função de transação </t>
        </is>
      </c>
      <c r="K4" s="38" t="n"/>
      <c r="L4" s="38" t="n"/>
      <c r="M4" s="38" t="n"/>
      <c r="N4" s="38" t="n"/>
      <c r="O4" s="38" t="n"/>
      <c r="P4" s="72" t="n"/>
    </row>
    <row r="5">
      <c r="B5" s="361" t="inlineStr">
        <is>
          <t>A complexidade funcional de cada função de dados deve ser determinada utilizando-se o número de DERs e RLRs, em conformidade com a Tabela 1</t>
        </is>
      </c>
      <c r="C5" s="27" t="n"/>
      <c r="D5" s="27" t="n"/>
      <c r="E5" s="27" t="n"/>
      <c r="F5" s="27" t="n"/>
      <c r="G5" s="27" t="n"/>
      <c r="H5" s="28" t="n"/>
      <c r="J5" s="362" t="inlineStr">
        <is>
          <t xml:space="preserve">A complexidade funcional de cada função de transação será determinada utilizando-se o número de ALRs e DERs, em conformidade com a Tabela 6 ou 7. </t>
        </is>
      </c>
      <c r="K5" s="27" t="n"/>
      <c r="L5" s="27" t="n"/>
      <c r="M5" s="27" t="n"/>
      <c r="N5" s="27" t="n"/>
      <c r="O5" s="27" t="n"/>
      <c r="P5" s="28" t="n"/>
    </row>
    <row r="6" ht="20.25" customHeight="1" s="30">
      <c r="B6" s="321" t="n"/>
      <c r="C6" s="33" t="n"/>
      <c r="D6" s="33" t="n"/>
      <c r="E6" s="33" t="n"/>
      <c r="F6" s="33" t="n"/>
      <c r="G6" s="33" t="n"/>
      <c r="H6" s="322" t="n"/>
      <c r="J6" s="321" t="n"/>
      <c r="K6" s="33" t="n"/>
      <c r="L6" s="33" t="n"/>
      <c r="M6" s="33" t="n"/>
      <c r="N6" s="33" t="n"/>
      <c r="O6" s="33" t="n"/>
      <c r="P6" s="322" t="n"/>
    </row>
    <row r="7" ht="20.25" customHeight="1" s="30">
      <c r="B7" s="272" t="inlineStr">
        <is>
          <t>Tabela 1 — Complexidade das funções de dados</t>
        </is>
      </c>
      <c r="C7" s="27" t="n"/>
      <c r="D7" s="27" t="n"/>
      <c r="E7" s="27" t="n"/>
      <c r="F7" s="27" t="n"/>
      <c r="G7" s="27" t="n"/>
      <c r="H7" s="27" t="n"/>
      <c r="J7" s="273" t="inlineStr">
        <is>
          <t>Tabela 6 — Complexidade funcional das EE</t>
        </is>
      </c>
      <c r="K7" s="27" t="n"/>
      <c r="L7" s="27" t="n"/>
      <c r="M7" s="27" t="n"/>
      <c r="N7" s="27" t="n"/>
      <c r="O7" s="27" t="n"/>
      <c r="P7" s="27" t="n"/>
    </row>
    <row r="8" ht="15" customHeight="1" s="30">
      <c r="B8" s="48" t="n"/>
      <c r="C8" s="96" t="n"/>
      <c r="D8" s="96" t="n"/>
      <c r="E8" s="97" t="inlineStr">
        <is>
          <t>DERs</t>
        </is>
      </c>
      <c r="F8" s="38" t="n"/>
      <c r="G8" s="72" t="n"/>
      <c r="J8" s="48" t="n"/>
      <c r="K8" s="96" t="n"/>
      <c r="L8" s="96" t="n"/>
      <c r="M8" s="97" t="inlineStr">
        <is>
          <t>DERs</t>
        </is>
      </c>
      <c r="N8" s="38" t="n"/>
      <c r="O8" s="72" t="n"/>
    </row>
    <row r="9" ht="15" customHeight="1" s="30">
      <c r="B9" s="48" t="n"/>
      <c r="C9" s="96" t="n"/>
      <c r="D9" s="96" t="n"/>
      <c r="E9" s="97" t="inlineStr">
        <is>
          <t>1 até 19</t>
        </is>
      </c>
      <c r="F9" s="97" t="inlineStr">
        <is>
          <t>20 até 50</t>
        </is>
      </c>
      <c r="G9" s="97" t="inlineStr">
        <is>
          <t>&gt; 50</t>
        </is>
      </c>
      <c r="J9" s="48" t="n"/>
      <c r="K9" s="96" t="n"/>
      <c r="L9" s="96" t="n"/>
      <c r="M9" s="97" t="inlineStr">
        <is>
          <t>1 até 4</t>
        </is>
      </c>
      <c r="N9" s="97" t="inlineStr">
        <is>
          <t>5 até 15</t>
        </is>
      </c>
      <c r="O9" s="97" t="inlineStr">
        <is>
          <t>&gt;15</t>
        </is>
      </c>
    </row>
    <row r="10" ht="15" customHeight="1" s="30">
      <c r="B10" s="48" t="n"/>
      <c r="C10" s="363" t="inlineStr">
        <is>
          <t>RLRs</t>
        </is>
      </c>
      <c r="D10" s="98" t="inlineStr">
        <is>
          <t>1</t>
        </is>
      </c>
      <c r="E10" s="97" t="inlineStr">
        <is>
          <t>Baixa</t>
        </is>
      </c>
      <c r="F10" s="97" t="inlineStr">
        <is>
          <t>Baixa</t>
        </is>
      </c>
      <c r="G10" s="97" t="inlineStr">
        <is>
          <t>Média</t>
        </is>
      </c>
      <c r="J10" s="48" t="n"/>
      <c r="K10" s="363" t="inlineStr">
        <is>
          <t>ALRs</t>
        </is>
      </c>
      <c r="L10" s="98" t="inlineStr">
        <is>
          <t>0 até 1</t>
        </is>
      </c>
      <c r="M10" s="97" t="inlineStr">
        <is>
          <t>Baixa</t>
        </is>
      </c>
      <c r="N10" s="97" t="inlineStr">
        <is>
          <t>Baixa</t>
        </is>
      </c>
      <c r="O10" s="97" t="inlineStr">
        <is>
          <t>Média</t>
        </is>
      </c>
    </row>
    <row r="11" ht="15" customHeight="1" s="30">
      <c r="B11" s="48" t="n"/>
      <c r="C11" s="354" t="n"/>
      <c r="D11" s="98" t="inlineStr">
        <is>
          <t>2 até 5</t>
        </is>
      </c>
      <c r="E11" s="97" t="inlineStr">
        <is>
          <t>Baixa</t>
        </is>
      </c>
      <c r="F11" s="97" t="inlineStr">
        <is>
          <t>Média</t>
        </is>
      </c>
      <c r="G11" s="97" t="inlineStr">
        <is>
          <t>Alta</t>
        </is>
      </c>
      <c r="J11" s="48" t="n"/>
      <c r="K11" s="354" t="n"/>
      <c r="L11" s="98" t="inlineStr">
        <is>
          <t>2</t>
        </is>
      </c>
      <c r="M11" s="97" t="inlineStr">
        <is>
          <t>Baixa</t>
        </is>
      </c>
      <c r="N11" s="97" t="inlineStr">
        <is>
          <t>Média</t>
        </is>
      </c>
      <c r="O11" s="97" t="inlineStr">
        <is>
          <t>Alta</t>
        </is>
      </c>
    </row>
    <row r="12" ht="15" customHeight="1" s="30">
      <c r="B12" s="48" t="n"/>
      <c r="C12" s="355" t="n"/>
      <c r="D12" s="99" t="inlineStr">
        <is>
          <t>&gt; 5</t>
        </is>
      </c>
      <c r="E12" s="97" t="inlineStr">
        <is>
          <t>Média</t>
        </is>
      </c>
      <c r="F12" s="97" t="inlineStr">
        <is>
          <t>Alta</t>
        </is>
      </c>
      <c r="G12" s="97" t="inlineStr">
        <is>
          <t>Alta</t>
        </is>
      </c>
      <c r="J12" s="48" t="n"/>
      <c r="K12" s="355" t="n"/>
      <c r="L12" s="99" t="inlineStr">
        <is>
          <t>&gt; 2</t>
        </is>
      </c>
      <c r="M12" s="97" t="inlineStr">
        <is>
          <t>Média</t>
        </is>
      </c>
      <c r="N12" s="97" t="inlineStr">
        <is>
          <t>Alta</t>
        </is>
      </c>
      <c r="O12" s="97" t="inlineStr">
        <is>
          <t>Alta</t>
        </is>
      </c>
    </row>
    <row r="13" ht="20.25" customHeight="1" s="30">
      <c r="J13" s="273" t="inlineStr">
        <is>
          <t>Tabela 7 — Complexidade funcional das SE e CE</t>
        </is>
      </c>
      <c r="K13" s="27" t="n"/>
      <c r="L13" s="27" t="n"/>
      <c r="M13" s="27" t="n"/>
      <c r="N13" s="27" t="n"/>
      <c r="O13" s="27" t="n"/>
      <c r="P13" s="27" t="n"/>
    </row>
    <row r="14" ht="15.75" customHeight="1" s="30">
      <c r="B14" s="280" t="inlineStr">
        <is>
          <t xml:space="preserve">5.4.7 Determinar o tamanho funcional de cada função de dados </t>
        </is>
      </c>
      <c r="C14" s="38" t="n"/>
      <c r="D14" s="38" t="n"/>
      <c r="E14" s="38" t="n"/>
      <c r="F14" s="38" t="n"/>
      <c r="G14" s="38" t="n"/>
      <c r="H14" s="38" t="n"/>
      <c r="J14" s="48" t="n"/>
      <c r="K14" s="96" t="n"/>
      <c r="L14" s="96" t="n"/>
      <c r="M14" s="97" t="inlineStr">
        <is>
          <t>DERs</t>
        </is>
      </c>
      <c r="N14" s="38" t="n"/>
      <c r="O14" s="72" t="n"/>
    </row>
    <row r="15" ht="15" customHeight="1" s="30">
      <c r="B15" s="361" t="inlineStr">
        <is>
          <t>O tamanho funcional de cada função de dados deve ser determinado utilizando-se o tipo e a complexidade funcional, de acordo com a Tabela 2.</t>
        </is>
      </c>
      <c r="C15" s="27" t="n"/>
      <c r="D15" s="27" t="n"/>
      <c r="E15" s="27" t="n"/>
      <c r="F15" s="27" t="n"/>
      <c r="G15" s="27" t="n"/>
      <c r="H15" s="28" t="n"/>
      <c r="J15" s="48" t="n"/>
      <c r="K15" s="96" t="n"/>
      <c r="L15" s="96" t="n"/>
      <c r="M15" s="97" t="inlineStr">
        <is>
          <t>1 até 5</t>
        </is>
      </c>
      <c r="N15" s="97" t="inlineStr">
        <is>
          <t>6 até 19</t>
        </is>
      </c>
      <c r="O15" s="97" t="inlineStr">
        <is>
          <t>&gt;19</t>
        </is>
      </c>
    </row>
    <row r="16" ht="15" customHeight="1" s="30">
      <c r="B16" s="321" t="n"/>
      <c r="C16" s="33" t="n"/>
      <c r="D16" s="33" t="n"/>
      <c r="E16" s="33" t="n"/>
      <c r="F16" s="33" t="n"/>
      <c r="G16" s="33" t="n"/>
      <c r="H16" s="322" t="n"/>
      <c r="J16" s="48" t="n"/>
      <c r="K16" s="363" t="inlineStr">
        <is>
          <t>ALRs</t>
        </is>
      </c>
      <c r="L16" s="98" t="inlineStr">
        <is>
          <t>0 até 1</t>
        </is>
      </c>
      <c r="M16" s="97" t="inlineStr">
        <is>
          <t>Baixa</t>
        </is>
      </c>
      <c r="N16" s="97" t="inlineStr">
        <is>
          <t>Baixa</t>
        </is>
      </c>
      <c r="O16" s="97" t="inlineStr">
        <is>
          <t>Média</t>
        </is>
      </c>
    </row>
    <row r="17" ht="20.25" customHeight="1" s="30">
      <c r="B17" s="273" t="inlineStr">
        <is>
          <t>Tabela 2 — Tamanho das funções de dados</t>
        </is>
      </c>
      <c r="C17" s="27" t="n"/>
      <c r="D17" s="27" t="n"/>
      <c r="E17" s="27" t="n"/>
      <c r="F17" s="27" t="n"/>
      <c r="G17" s="27" t="n"/>
      <c r="H17" s="27" t="n"/>
      <c r="J17" s="48" t="n"/>
      <c r="K17" s="354" t="n"/>
      <c r="L17" s="98" t="inlineStr">
        <is>
          <t>2 até 3</t>
        </is>
      </c>
      <c r="M17" s="97" t="inlineStr">
        <is>
          <t>Baixa</t>
        </is>
      </c>
      <c r="N17" s="97" t="inlineStr">
        <is>
          <t>Média</t>
        </is>
      </c>
      <c r="O17" s="97" t="inlineStr">
        <is>
          <t>Alta</t>
        </is>
      </c>
    </row>
    <row r="18" ht="15" customHeight="1" s="30">
      <c r="B18" s="48" t="n"/>
      <c r="C18" s="96" t="n"/>
      <c r="D18" s="96" t="n"/>
      <c r="E18" s="96" t="n"/>
      <c r="F18" s="97" t="inlineStr">
        <is>
          <t>DERs</t>
        </is>
      </c>
      <c r="G18" s="72" t="n"/>
      <c r="J18" s="48" t="n"/>
      <c r="K18" s="355" t="n"/>
      <c r="L18" s="99" t="inlineStr">
        <is>
          <t>&gt; 3</t>
        </is>
      </c>
      <c r="M18" s="97" t="inlineStr">
        <is>
          <t>Média</t>
        </is>
      </c>
      <c r="N18" s="97" t="inlineStr">
        <is>
          <t>Alta</t>
        </is>
      </c>
      <c r="O18" s="97" t="inlineStr">
        <is>
          <t>Alta</t>
        </is>
      </c>
    </row>
    <row r="19" ht="15" customHeight="1" s="30">
      <c r="B19" s="48" t="n"/>
      <c r="C19" s="96" t="n"/>
      <c r="D19" s="96" t="n"/>
      <c r="E19" s="96" t="n"/>
      <c r="F19" s="97" t="inlineStr">
        <is>
          <t>ALI</t>
        </is>
      </c>
      <c r="G19" s="97" t="inlineStr">
        <is>
          <t>AIE</t>
        </is>
      </c>
      <c r="J19" s="48" t="n"/>
    </row>
    <row r="20" ht="18" customHeight="1" s="30">
      <c r="C20" s="287" t="inlineStr">
        <is>
          <t>Complexidade Funcional</t>
        </is>
      </c>
      <c r="D20" s="28" t="n"/>
      <c r="E20" s="98" t="inlineStr">
        <is>
          <t>Baixa</t>
        </is>
      </c>
      <c r="F20" s="97" t="n">
        <v>7</v>
      </c>
      <c r="G20" s="97" t="n">
        <v>5</v>
      </c>
      <c r="J20" s="265" t="inlineStr">
        <is>
          <t xml:space="preserve">5.5.7 Determinar o tamanho funcional de cada função de transação </t>
        </is>
      </c>
      <c r="K20" s="38" t="n"/>
      <c r="L20" s="38" t="n"/>
      <c r="M20" s="38" t="n"/>
      <c r="N20" s="38" t="n"/>
      <c r="O20" s="38" t="n"/>
      <c r="P20" s="38" t="n"/>
    </row>
    <row r="21" ht="15" customHeight="1" s="30">
      <c r="C21" s="29" t="n"/>
      <c r="D21" s="31" t="n"/>
      <c r="E21" s="98" t="inlineStr">
        <is>
          <t>Média</t>
        </is>
      </c>
      <c r="F21" s="97" t="n">
        <v>10</v>
      </c>
      <c r="G21" s="97" t="n">
        <v>7</v>
      </c>
      <c r="J21" s="364" t="inlineStr">
        <is>
          <t>O tamanho funcional de cada função de transação será determinado utilizando-se o tipo e a complexidade funcional, de acordo com a Tabela 8.</t>
        </is>
      </c>
      <c r="K21" s="27" t="n"/>
      <c r="L21" s="27" t="n"/>
      <c r="M21" s="27" t="n"/>
      <c r="N21" s="27" t="n"/>
      <c r="O21" s="27" t="n"/>
      <c r="P21" s="28" t="n"/>
    </row>
    <row r="22" ht="15" customHeight="1" s="30">
      <c r="C22" s="321" t="n"/>
      <c r="D22" s="322" t="n"/>
      <c r="E22" s="99" t="inlineStr">
        <is>
          <t>Alta</t>
        </is>
      </c>
      <c r="F22" s="97" t="n">
        <v>15</v>
      </c>
      <c r="G22" s="97" t="n">
        <v>10</v>
      </c>
      <c r="J22" s="321" t="n"/>
      <c r="K22" s="33" t="n"/>
      <c r="L22" s="33" t="n"/>
      <c r="M22" s="33" t="n"/>
      <c r="N22" s="33" t="n"/>
      <c r="O22" s="33" t="n"/>
      <c r="P22" s="322" t="n"/>
    </row>
    <row r="23" ht="20.25" customHeight="1" s="30">
      <c r="J23" s="273" t="inlineStr">
        <is>
          <t>Tabela 8 — Tamanho das funções de transação</t>
        </is>
      </c>
      <c r="K23" s="27" t="n"/>
      <c r="L23" s="27" t="n"/>
      <c r="M23" s="27" t="n"/>
      <c r="N23" s="27" t="n"/>
      <c r="O23" s="27" t="n"/>
      <c r="P23" s="27" t="n"/>
    </row>
    <row r="24" ht="15" customHeight="1" s="30">
      <c r="B24" s="235" t="inlineStr">
        <is>
          <t>Tabela de referência</t>
        </is>
      </c>
      <c r="C24" s="365" t="n"/>
      <c r="D24" s="365" t="n"/>
      <c r="E24" s="365" t="n"/>
      <c r="F24" s="365" t="n"/>
      <c r="G24" s="365" t="n"/>
      <c r="I24" s="49" t="n"/>
      <c r="J24" s="96" t="n"/>
      <c r="K24" s="96" t="n"/>
      <c r="L24" s="96" t="n"/>
      <c r="M24" s="97" t="inlineStr">
        <is>
          <t>Tipo</t>
        </is>
      </c>
      <c r="N24" s="38" t="n"/>
      <c r="O24" s="72" t="n"/>
    </row>
    <row r="25" ht="15" customHeight="1" s="30">
      <c r="I25" s="49" t="n"/>
      <c r="J25" s="96" t="n"/>
      <c r="K25" s="96" t="n"/>
      <c r="L25" s="96" t="n"/>
      <c r="M25" s="97" t="inlineStr">
        <is>
          <t>EE</t>
        </is>
      </c>
      <c r="N25" s="97" t="inlineStr">
        <is>
          <t>SE</t>
        </is>
      </c>
      <c r="O25" s="97" t="inlineStr">
        <is>
          <t>CE</t>
        </is>
      </c>
    </row>
    <row r="26" ht="15.75" customHeight="1" s="30">
      <c r="B26" s="288" t="inlineStr">
        <is>
          <t>Item</t>
        </is>
      </c>
      <c r="C26" s="366" t="n"/>
      <c r="D26" s="367" t="n"/>
      <c r="E26" s="288" t="inlineStr">
        <is>
          <t>Base de cálculo</t>
        </is>
      </c>
      <c r="F26" s="288" t="inlineStr">
        <is>
          <t>Fator de equivalência</t>
        </is>
      </c>
      <c r="G26" s="367" t="n"/>
      <c r="I26" s="49" t="n"/>
      <c r="J26" s="287" t="inlineStr">
        <is>
          <t>Complexidade Funcional</t>
        </is>
      </c>
      <c r="K26" s="28" t="n"/>
      <c r="L26" s="98" t="inlineStr">
        <is>
          <t>Baixa</t>
        </is>
      </c>
      <c r="M26" s="97" t="n">
        <v>3</v>
      </c>
      <c r="N26" s="97" t="n">
        <v>4</v>
      </c>
      <c r="O26" s="97" t="n">
        <v>3</v>
      </c>
    </row>
    <row r="27" ht="20.25" customHeight="1" s="30">
      <c r="B27" s="246" t="inlineStr">
        <is>
          <t>INCLUSÃO</t>
        </is>
      </c>
      <c r="C27" s="368" t="n"/>
      <c r="D27" s="369" t="n"/>
      <c r="E27" s="87" t="inlineStr">
        <is>
          <t>I</t>
        </is>
      </c>
      <c r="F27" s="370" t="n">
        <v>1</v>
      </c>
      <c r="G27" s="369" t="n"/>
      <c r="I27" s="49" t="n"/>
      <c r="J27" s="29" t="n"/>
      <c r="K27" s="31" t="n"/>
      <c r="L27" s="98" t="inlineStr">
        <is>
          <t>Média</t>
        </is>
      </c>
      <c r="M27" s="97" t="n">
        <v>4</v>
      </c>
      <c r="N27" s="97" t="n">
        <v>5</v>
      </c>
      <c r="O27" s="97" t="n">
        <v>4</v>
      </c>
    </row>
    <row r="28" ht="20.25" customHeight="1" s="30">
      <c r="B28" s="246" t="inlineStr">
        <is>
          <t>ALTERAÇÃO</t>
        </is>
      </c>
      <c r="C28" s="368" t="n"/>
      <c r="D28" s="369" t="n"/>
      <c r="E28" s="87" t="inlineStr">
        <is>
          <t>A</t>
        </is>
      </c>
      <c r="F28" s="370" t="n">
        <v>0.5</v>
      </c>
      <c r="G28" s="369" t="n"/>
      <c r="I28" s="49" t="n"/>
      <c r="J28" s="321" t="n"/>
      <c r="K28" s="322" t="n"/>
      <c r="L28" s="99" t="inlineStr">
        <is>
          <t>Alta</t>
        </is>
      </c>
      <c r="M28" s="97" t="n">
        <v>6</v>
      </c>
      <c r="N28" s="97" t="n">
        <v>7</v>
      </c>
      <c r="O28" s="97" t="n">
        <v>6</v>
      </c>
    </row>
    <row r="29" ht="20.25" customHeight="1" s="30">
      <c r="B29" s="246" t="inlineStr">
        <is>
          <t>EXCLUSÃO</t>
        </is>
      </c>
      <c r="C29" s="368" t="n"/>
      <c r="D29" s="369" t="n"/>
      <c r="E29" s="87" t="inlineStr">
        <is>
          <t>E</t>
        </is>
      </c>
      <c r="F29" s="370" t="n">
        <v>0.3</v>
      </c>
      <c r="G29" s="369" t="n"/>
      <c r="I29" s="49" t="n"/>
    </row>
    <row r="30" ht="20.25" customHeight="1" s="30">
      <c r="B30" s="246" t="inlineStr">
        <is>
          <t>TESTE</t>
        </is>
      </c>
      <c r="C30" s="368" t="n"/>
      <c r="D30" s="369" t="n"/>
      <c r="E30" s="87" t="inlineStr">
        <is>
          <t>T</t>
        </is>
      </c>
      <c r="F30" s="370" t="n">
        <v>0.2</v>
      </c>
      <c r="G30" s="369" t="n"/>
      <c r="I30" s="49" t="n"/>
    </row>
    <row r="31" ht="195" customFormat="1" customHeight="1" s="86">
      <c r="B31" s="242" t="inlineStr">
        <is>
          <t>SISP 2.3:
4.3 Projetos de Migração de Dados
Um projeto de migração deve contemplar minimamente: 
Os ALI mantidos pela migração, as Entradas Externas – considerando as cargas de dados nos ALI – e, caso seja solicitado pelo usuário, os relatórios gerenciais das cargas, que serão contados como Saídas Externas. 
Os projetos de migração de dados devem ser contados como um novo projeto de desenvolvimento de um sistema, seguindo a fórmula abaixo:
PF_CONVERSÃO = PF_INCLUIDO</t>
        </is>
      </c>
      <c r="C31" s="368" t="n"/>
      <c r="D31" s="369" t="n"/>
      <c r="E31" s="87" t="inlineStr">
        <is>
          <t>Migração de Dados</t>
        </is>
      </c>
      <c r="F31" s="370" t="n">
        <v>1</v>
      </c>
      <c r="G31" s="369" t="n"/>
    </row>
    <row r="32" ht="276.75" customHeight="1" s="30">
      <c r="B32" s="234"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2" s="368" t="n"/>
      <c r="D32" s="369" t="n"/>
      <c r="E32" s="88" t="inlineStr">
        <is>
          <t>Manutenção Corretiva - 50</t>
        </is>
      </c>
      <c r="F32" s="371" t="n">
        <v>0.5</v>
      </c>
      <c r="G32" s="369" t="n"/>
    </row>
    <row r="33" ht="269.25" customHeight="1" s="30">
      <c r="B33" s="239"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3" s="368" t="n"/>
      <c r="D33" s="369" t="n"/>
      <c r="E33" s="87" t="inlineStr">
        <is>
          <t>Manutenção Corretiva - 75</t>
        </is>
      </c>
      <c r="F33" s="370" t="n">
        <v>0.75</v>
      </c>
      <c r="G33" s="369" t="n"/>
    </row>
    <row r="34" ht="240" customHeight="1" s="30">
      <c r="B34" s="234" t="inlineStr">
        <is>
          <t>SISP 2.3:
4.5.1  Mudança de Plataforma - Linguagem de Programação
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t>
        </is>
      </c>
      <c r="C34" s="368" t="n"/>
      <c r="D34" s="369" t="n"/>
      <c r="E34" s="88" t="inlineStr">
        <is>
          <t>MP - Linguagem Programação</t>
        </is>
      </c>
      <c r="F34" s="371" t="n">
        <v>1</v>
      </c>
      <c r="G34" s="369" t="n"/>
    </row>
    <row r="35" ht="294" customHeight="1" s="30">
      <c r="B35" s="242" t="inlineStr">
        <is>
          <t>SISP 2.3:
4.5.2  Mudança de Plataforma - Banco de Dados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is>
      </c>
      <c r="C35" s="368" t="n"/>
      <c r="D35" s="369" t="n"/>
      <c r="E35" s="87" t="inlineStr">
        <is>
          <t>MP - Banco de Dados</t>
        </is>
      </c>
      <c r="F35" s="370" t="n">
        <v>0.3</v>
      </c>
      <c r="G35" s="369" t="n"/>
    </row>
    <row r="36" ht="308.25" customHeight="1" s="30">
      <c r="B36" s="234" t="inlineStr">
        <is>
          <t>SISP 2.3:
4.6.1 Atualização de Versão – Linguagem de Programação
Nesta categoria encontram-se as demandas de atualização de versão de linguagem  de programação de sistemas. As funções de dados não devem ser contadas.
Estas demandas devem ser dimensionadas de acordo com a fórmula abaixo.
PF_ATUALIZAÇÃO_VERSÃO_LINGUAGEM = PF_ALTERADO x 0,30
O PF_ALTERADO deve considerar apenas as funcionalidades impactadas. As funcionalidades que possuem apenas demandas de testes, devem ser contadas usando o percentual da fase de testes.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is>
      </c>
      <c r="C36" s="368" t="n"/>
      <c r="D36" s="369" t="n"/>
      <c r="E36" s="88" t="inlineStr">
        <is>
          <t>AV - Linguagem Programação</t>
        </is>
      </c>
      <c r="F36" s="371" t="n">
        <v>0.3</v>
      </c>
      <c r="G36" s="369" t="n"/>
    </row>
    <row r="37" ht="409.5" customHeight="1" s="30">
      <c r="B37" s="242" t="inlineStr">
        <is>
          <t>SISP 2.3:
4.6.2 Atualização de Versão – Browser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PF_ATUALIZAÇÃO_VERSÃO_BROWSER = PF_ALTERADO x 0,30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ePing. Caso seja necessário fazer a adequação do sistema para atendimento ao padrão W3C, pode-se usar a fórmula acima.</t>
        </is>
      </c>
      <c r="C37" s="368" t="n"/>
      <c r="D37" s="369" t="n"/>
      <c r="E37" s="87" t="inlineStr">
        <is>
          <t>AV - Browser</t>
        </is>
      </c>
      <c r="F37" s="370" t="n">
        <v>0.3</v>
      </c>
      <c r="G37" s="369" t="n"/>
    </row>
    <row r="38" ht="258" customHeight="1" s="30">
      <c r="B38" s="234" t="inlineStr">
        <is>
          <t>SISP 2.3:
4.6.3 Atualização de Versão – Banco de Dados
Nesta categoria encontram-se as demandas de atualização de versão do sistema gerenciador de banco de dados. As funções de dados não devem ser contadas. 
Estas demandas devem ser dimensionadas de acordo com a fórmula abaixo.
PF_ ATUALIZAÇÃO_VERSÃO_BD = PF_ALTERADO x 0,30
O PF_ALTERADO deve considerar apenas as funcionalidades impactadas. 
As funcionalidades que possuem apenas demandas de testes, devem ser contadas usando o
percentual da fase de testes.</t>
        </is>
      </c>
      <c r="C38" s="368" t="n"/>
      <c r="D38" s="369" t="n"/>
      <c r="E38" s="88" t="inlineStr">
        <is>
          <t>AV - Banco de Dados</t>
        </is>
      </c>
      <c r="F38" s="371" t="n">
        <v>0.3</v>
      </c>
      <c r="G38" s="369" t="n"/>
    </row>
    <row r="39" ht="401.25" customHeight="1" s="30">
      <c r="B39" s="242" t="inlineStr">
        <is>
          <t>SISP 2.3:
4.7 Manutenção em Interface
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PF_INTERFACE = 0,6 PF x QUANTIDADE DE FUNÇÕES TRANSACIONAIS IMPACTADAS
OBSERVAÇÃO 1 – HELP:
As demandas de projetos de desenvolvimento de sistemas ou de manutenção de funcionalidades contemplam o desenvolvimento ou atualização do help da funcionalidade em questão, sendo tratada como uma atividade de documentação no processo de software.
No caso de demandas específicas de desenvolvimento ou atualização de help estático de funcionalidades, estas podem ser enquadrada nesta seção e poderá ser usado um valor de
multiplicação inferior a 0,6 PF conforme análise de impacto das mudanças propostas.
Em caso de requisitos de usuário para o desenvolvimento de funcionalidades de manutenção de help, deve-se contar a função de dados de help e as funcionalidades de manutenção de help (por exemplo: incluir help de tela, consultar help de campo) de acordo com o CPM 4.3.</t>
        </is>
      </c>
      <c r="C39" s="368" t="n"/>
      <c r="D39" s="369" t="n"/>
      <c r="E39" s="87" t="inlineStr">
        <is>
          <t>Manutenção Interface</t>
        </is>
      </c>
      <c r="F39" s="370" t="n">
        <v>0.6</v>
      </c>
      <c r="G39" s="369" t="n"/>
    </row>
    <row r="40" ht="294" customHeight="1" s="30">
      <c r="B40" s="234"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0" s="368" t="n"/>
      <c r="D40" s="369" t="n"/>
      <c r="E40" s="88" t="inlineStr">
        <is>
          <t>Manutenção Adaptativa - 50</t>
        </is>
      </c>
      <c r="F40" s="371" t="n">
        <v>0.5</v>
      </c>
      <c r="G40" s="369" t="n"/>
    </row>
    <row r="41" ht="279" customHeight="1" s="30">
      <c r="B41" s="239"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1" s="368" t="n"/>
      <c r="D41" s="369" t="n"/>
      <c r="E41" s="87" t="inlineStr">
        <is>
          <t>Manutenção Adaptativa - 75</t>
        </is>
      </c>
      <c r="F41" s="370" t="n">
        <v>0.75</v>
      </c>
      <c r="G41" s="369" t="n"/>
    </row>
    <row r="42" ht="305.25" customHeight="1" s="30">
      <c r="B42" s="234" t="inlineStr">
        <is>
          <t>SISP 2.3:
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É importante ressaltar que as funções de dados associadas aos dados atualizados não devem ser contadas, considerando que não há mudanças nas estruturas dos Arquivos Lógicos Internos.</t>
        </is>
      </c>
      <c r="C42" s="368" t="n"/>
      <c r="D42" s="369" t="n"/>
      <c r="E42" s="88" t="inlineStr">
        <is>
          <t>Apuração Especial</t>
        </is>
      </c>
      <c r="F42" s="371" t="n">
        <v>1</v>
      </c>
      <c r="G42" s="369" t="n"/>
    </row>
    <row r="43" ht="405" customHeight="1" s="30">
      <c r="B43" s="242" t="inlineStr">
        <is>
          <t>SISP 2.3:
4.9.2 Apuração Especial – Geração de Relatórios
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Deve-se destacar que essas funções são executadas apenas uma vez,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t>
        </is>
      </c>
      <c r="C43" s="368" t="n"/>
      <c r="D43" s="369" t="n"/>
      <c r="E43" s="87" t="inlineStr">
        <is>
          <t>Apuração Especial - Relatório</t>
        </is>
      </c>
      <c r="F43" s="370" t="n">
        <v>1</v>
      </c>
      <c r="G43" s="369" t="n"/>
    </row>
    <row r="44" ht="306.75" customHeight="1" s="30">
      <c r="B44" s="234" t="inlineStr">
        <is>
          <t>SISP 2.3:
4.9.3 Apuração Especial – Reexecução
Em alguns casos, a empresa contratante pode ter interesse em executar uma apuração especial mais de uma vez.
Nestes casos, ela deve solicitar formalmente à contratada o armazenamento do script executado. 
Desta forma, se for solicitada a reexecução de uma apuração especial, esta deve ser dimensionada com a aplicação de um fator redutor de 10% na contagem de pontos de função da apuração especial em questão, da seguinte maneira:
PF_REEXECUÇÃO_APURAÇÃO = PF_NÃO_AJUSTADO x 0,10</t>
        </is>
      </c>
      <c r="C44" s="368" t="n"/>
      <c r="D44" s="369" t="n"/>
      <c r="E44" s="88" t="inlineStr">
        <is>
          <t>Apuração Especial - Reexecução</t>
        </is>
      </c>
      <c r="F44" s="371" t="n">
        <v>0.1</v>
      </c>
      <c r="G44" s="369" t="n"/>
    </row>
    <row r="45" ht="288.75" customHeight="1" s="30">
      <c r="B45" s="242" t="inlineStr">
        <is>
          <t>SISP 2.3:
4.10  Atualização de Dados
Em alguns casos, as demandas de correção de problemas em base de dados estão associadas a atualizações manuais (de forma interativa), diretamente no banco de dados em um único registro, e que não envolvem cálculos ou procedimentos complexos. 
São exemplos desse tipo de demanda, a atualização do valor de um campo de uma tabela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PF_ATUALIZAÇÃO_BD = PF_INCLUÍDO x 0,10</t>
        </is>
      </c>
      <c r="C45" s="368" t="n"/>
      <c r="D45" s="369" t="n"/>
      <c r="E45" s="87" t="inlineStr">
        <is>
          <t>Atualização de Dados</t>
        </is>
      </c>
      <c r="F45" s="370" t="n">
        <v>0.1</v>
      </c>
      <c r="G45" s="369" t="n"/>
    </row>
    <row r="46" ht="290.25" customHeight="1" s="30">
      <c r="B46" s="234" t="inlineStr">
        <is>
          <t>SISP 2.3:
4.11  Desenvolvimento, Manutenção e Publicação de Páginas
Estáticas de Intranet, Internet ou Portal
Nesta seção são tratados desenvolvimentos e manutenções específicas em páginas estáticas de portais, intranets ou websites. As demandas desta seção abrangem a publicação de páginas Web com conteúdo estático. 
Estas demandas são consideradas como desenvolvimento de consultas. 
Nestes casos, considera-se 20% dos pontos de função das consultas desenvolvidas. 
Cada página é contada como uma consulta.
As consultas são consideradas consultas externas simples (3 PF). 
Ou seja, 0,6 PF por cada página desenvolvida ou mantida, de acordo com a fórmula abaixo:
PF_PUBLICAÇÃO = 0,6 PF x Quantidade de Páginas Alteradas ou Incluídas</t>
        </is>
      </c>
      <c r="C46" s="368" t="n"/>
      <c r="D46" s="369" t="n"/>
      <c r="E46" s="88" t="inlineStr">
        <is>
          <t>Paginas Estáticas</t>
        </is>
      </c>
      <c r="F46" s="371" t="n">
        <v>0.6</v>
      </c>
      <c r="G46" s="369" t="n"/>
    </row>
    <row r="47" ht="271.5" customHeight="1" s="30">
      <c r="B47" s="242" t="inlineStr">
        <is>
          <t>SISP 2.3:
4.12  Manutenção de Documentação de Sistemas Legados
São tratadas demandas de documentação ou atualização de documentação de sistemas legados.
Observe que o desenvolvedor deve realizar uma engenharia reversa da aplicação para gerar a documentação.
Para este tipo de projeto foi definido o fator de impacto de 25% dos pontos de função da aplicação em questão, considerando a fase de requisitos e a geração de artefatos associados a requisitos,
conforme a fórmula abaixo.
PF_DOCUMENTAÇÃO = PF_NÃO_AJUSTADO x 0,25</t>
        </is>
      </c>
      <c r="C47" s="368" t="n"/>
      <c r="D47" s="369" t="n"/>
      <c r="E47" s="87" t="inlineStr">
        <is>
          <t>Manutenção de Documentação</t>
        </is>
      </c>
      <c r="F47" s="370" t="n">
        <v>0.25</v>
      </c>
      <c r="G47" s="369" t="n"/>
    </row>
    <row r="48" ht="296.25" customHeight="1" s="30">
      <c r="B48" s="234" t="inlineStr">
        <is>
          <t xml:space="preserve">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exista documentação de testes das funcionalidades verificadas, então será
considerado 15% (mesmo percentual da fase de Testes, conforme Tabela 7) do tamanho
funcional das funcionalidades analisadas, segundo a fórmula abaixo:
PF_VERIFICAÇÃO = PF_Funcionalidade_Reportada_Com_Erro x 0,15
</t>
        </is>
      </c>
      <c r="C48" s="368" t="n"/>
      <c r="D48" s="369" t="n"/>
      <c r="E48" s="88" t="inlineStr">
        <is>
          <t>Verificação de Erro</t>
        </is>
      </c>
      <c r="F48" s="371" t="n">
        <v>0.15</v>
      </c>
      <c r="G48" s="369" t="n"/>
    </row>
    <row r="49" ht="297" customHeight="1" s="30">
      <c r="B49" s="239" t="inlineStr">
        <is>
          <t>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t>
        </is>
      </c>
      <c r="C49" s="368" t="n"/>
      <c r="D49" s="369" t="n"/>
      <c r="E49" s="89" t="inlineStr">
        <is>
          <t>Verificação de Erro</t>
        </is>
      </c>
      <c r="F49" s="372" t="n">
        <v>0.2</v>
      </c>
      <c r="G49" s="369" t="n"/>
    </row>
    <row r="50" ht="265.5" customHeight="1" s="30">
      <c r="B50" s="243" t="inlineStr">
        <is>
          <t>SISP 2.3:
4.14  Pontos de Função de Teste
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PF_TESTES = PFT x 0,15</t>
        </is>
      </c>
      <c r="C50" s="368" t="n"/>
      <c r="D50" s="369" t="n"/>
      <c r="E50" s="90" t="inlineStr">
        <is>
          <t>Ponto de Função de Teste</t>
        </is>
      </c>
      <c r="F50" s="373" t="n">
        <v>0.15</v>
      </c>
      <c r="G50" s="369" t="n"/>
    </row>
    <row r="51" ht="207.75" customHeight="1" s="30">
      <c r="B51" s="239" t="inlineStr">
        <is>
          <t>SISP 2.3:
4.15  Componente Interno Reusável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is>
      </c>
      <c r="C51" s="368" t="n"/>
      <c r="D51" s="369" t="n"/>
      <c r="E51" s="89" t="inlineStr">
        <is>
          <t>Componente Interno</t>
        </is>
      </c>
      <c r="F51" s="372" t="n">
        <v>1</v>
      </c>
      <c r="G51" s="369" t="n"/>
    </row>
    <row r="52" ht="225" customHeight="1" s="30">
      <c r="B52" s="243" t="inlineStr">
        <is>
          <t>SISP 2.3:
4.15  Componente Interno Reusável
Além disso, existem casos onde são realizadas manutenções de valores de
elementos internos de configuração que afetam o comportamento ou a
apresentação do sistema de forma geral, tais como páginas de estilos (arquivos CSS
de sistemas Web), arquivos com mensagens de erro, arquivos de configuração de
sistema e arquivos de internacionalização. Nestes casos, a aferição do tamanho
em pontos de função será realizada com a aplicação de um fator de redução de
modo a considerar 20% da contagem de uma função transacional de mais baixa
complexidade (3 PF), ou seja 0,6 PF. Assim sendo, deve ser utilizada a seguinte
fórmula de cálculo:
PF_COMPONENTE_ARQUIVO = 0,6 PF x QTD_ARQUIVOS_ALTERADOS</t>
        </is>
      </c>
      <c r="C52" s="368" t="n"/>
      <c r="D52" s="369" t="n"/>
      <c r="E52" s="90" t="inlineStr">
        <is>
          <t>Componente Interno - Configuração</t>
        </is>
      </c>
      <c r="F52" s="373" t="n">
        <v>0.2</v>
      </c>
      <c r="G52" s="369" t="n"/>
    </row>
  </sheetData>
  <mergeCells count="79">
    <mergeCell ref="B42:D42"/>
    <mergeCell ref="F29:G29"/>
    <mergeCell ref="B44:D44"/>
    <mergeCell ref="B34:D34"/>
    <mergeCell ref="B28:D28"/>
    <mergeCell ref="B37:D37"/>
    <mergeCell ref="J23:P23"/>
    <mergeCell ref="B30:D30"/>
    <mergeCell ref="M24:O24"/>
    <mergeCell ref="C10:C12"/>
    <mergeCell ref="B5:H6"/>
    <mergeCell ref="F43:G43"/>
    <mergeCell ref="J20:P20"/>
    <mergeCell ref="B43:D43"/>
    <mergeCell ref="F34:G34"/>
    <mergeCell ref="K10:K12"/>
    <mergeCell ref="F30:G30"/>
    <mergeCell ref="C20:D22"/>
    <mergeCell ref="F18:G18"/>
    <mergeCell ref="F33:G33"/>
    <mergeCell ref="F45:G45"/>
    <mergeCell ref="F42:G42"/>
    <mergeCell ref="B7:H7"/>
    <mergeCell ref="B15:H16"/>
    <mergeCell ref="M14:O14"/>
    <mergeCell ref="B36:D36"/>
    <mergeCell ref="F47:G47"/>
    <mergeCell ref="B45:D45"/>
    <mergeCell ref="F31:G31"/>
    <mergeCell ref="F46:G46"/>
    <mergeCell ref="F28:G28"/>
    <mergeCell ref="B47:D47"/>
    <mergeCell ref="F39:G39"/>
    <mergeCell ref="B17:H17"/>
    <mergeCell ref="F48:G48"/>
    <mergeCell ref="B31:D31"/>
    <mergeCell ref="B46:D46"/>
    <mergeCell ref="E8:G8"/>
    <mergeCell ref="J7:P7"/>
    <mergeCell ref="B39:D39"/>
    <mergeCell ref="B48:D48"/>
    <mergeCell ref="B4:H4"/>
    <mergeCell ref="B49:D49"/>
    <mergeCell ref="F36:G36"/>
    <mergeCell ref="F50:G50"/>
    <mergeCell ref="B51:D51"/>
    <mergeCell ref="J13:P13"/>
    <mergeCell ref="B41:D41"/>
    <mergeCell ref="B35:D35"/>
    <mergeCell ref="B50:D50"/>
    <mergeCell ref="J21:P22"/>
    <mergeCell ref="J26:K28"/>
    <mergeCell ref="B24:G25"/>
    <mergeCell ref="B3:P3"/>
    <mergeCell ref="F49:G49"/>
    <mergeCell ref="B29:D29"/>
    <mergeCell ref="F40:G40"/>
    <mergeCell ref="B38:D38"/>
    <mergeCell ref="F51:G51"/>
    <mergeCell ref="B40:D40"/>
    <mergeCell ref="K16:K18"/>
    <mergeCell ref="M8:O8"/>
    <mergeCell ref="F32:G32"/>
    <mergeCell ref="F26:G26"/>
    <mergeCell ref="F41:G41"/>
    <mergeCell ref="F35:G35"/>
    <mergeCell ref="B33:D33"/>
    <mergeCell ref="F38:G38"/>
    <mergeCell ref="B32:D32"/>
    <mergeCell ref="B26:D26"/>
    <mergeCell ref="F27:G27"/>
    <mergeCell ref="F52:G52"/>
    <mergeCell ref="B14:H14"/>
    <mergeCell ref="F37:G37"/>
    <mergeCell ref="J5:P6"/>
    <mergeCell ref="B27:D27"/>
    <mergeCell ref="J4:P4"/>
    <mergeCell ref="B52:D52"/>
    <mergeCell ref="F44:G44"/>
  </mergeCells>
  <pageMargins left="0.511811024" right="0.511811024" top="0.787401575" bottom="0.787401575" header="0.31496062" footer="0.31496062"/>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Ribeiro Da Silva, Raphael</dc:creator>
  <dcterms:created xmlns:dcterms="http://purl.org/dc/terms/" xmlns:xsi="http://www.w3.org/2001/XMLSchema-instance" xsi:type="dcterms:W3CDTF">2016-11-10T17:09:29Z</dcterms:created>
  <dcterms:modified xmlns:dcterms="http://purl.org/dc/terms/" xmlns:xsi="http://www.w3.org/2001/XMLSchema-instance" xsi:type="dcterms:W3CDTF">2025-11-21T20:48:34Z</dcterms:modified>
  <cp:lastModifiedBy>Andrey Lopes</cp:lastModifiedBy>
  <cp:lastPrinted>2022-04-11T21:43:13Z</cp:lastPrinted>
</cp:coreProperties>
</file>